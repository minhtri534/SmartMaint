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ô hình Scrum" sheetId="1" state="visible" r:id="rId3"/>
    <sheet name="Sprint" sheetId="2" state="visible" r:id="rId4"/>
    <sheet name="Product Backlog" sheetId="3" state="visible" r:id="rId5"/>
    <sheet name="Đối chiếu WBS R2" sheetId="4" state="visible" r:id="rId6"/>
  </sheets>
  <definedNames>
    <definedName function="false" hidden="true" localSheetId="2" name="_xlnm._FilterDatabase" vbProcedure="false">'Product Backlog'!$A$4:$P$75</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Nguồn: Report 2 – Project Management Plan, mục 1.1 Scope &amp; Estimation (bản trên Drive 03_Reports, cập nhật 28/09/2026).</t>
        </r>
      </text>
    </comment>
  </commentList>
</comments>
</file>

<file path=xl/sharedStrings.xml><?xml version="1.0" encoding="utf-8"?>
<sst xmlns="http://schemas.openxmlformats.org/spreadsheetml/2006/main" count="1079" uniqueCount="653">
  <si>
    <t xml:space="preserve">SmartMaint (FA26SE147) — Mô hình Scrum giai đoạn code</t>
  </si>
  <si>
    <t xml:space="preserve">Phạm vi: toàn bộ Product Backlog của dự án (Web + Backend + Mobile + AI), bắt đầu từ Sprint 1 = Code Frame. Lập ngày 30/09/2026.</t>
  </si>
  <si>
    <t xml:space="preserve">1. Vai trò Scrum</t>
  </si>
  <si>
    <t xml:space="preserve">Vai trò</t>
  </si>
  <si>
    <t xml:space="preserve">Trách nhiệm</t>
  </si>
  <si>
    <t xml:space="preserve">Người đảm nhận</t>
  </si>
  <si>
    <t xml:space="preserve">Product Owner</t>
  </si>
  <si>
    <t xml:space="preserve">Quản lý và sắp thứ tự Product Backlog; quyết định module nào vào sprint; chấp nhận hoặc trả lại increment cuối sprint.</t>
  </si>
  <si>
    <t xml:space="preserve">Scrum Master</t>
  </si>
  <si>
    <t xml:space="preserve">Giữ nhịp các sự kiện Scrum; gỡ vướng cho nhóm; nhắc cập nhật trạng thái trên sheet và Trello.</t>
  </si>
  <si>
    <t xml:space="preserve">Development Team</t>
  </si>
  <si>
    <t xml:space="preserve">Làm các module (Backend, Web, Mobile), tự test, review chéo qua Pull Request.</t>
  </si>
  <si>
    <t xml:space="preserve">Ô vàng = để trống, phân vai sau (theo yêu cầu Leader).</t>
  </si>
  <si>
    <t xml:space="preserve">2. Sự kiện Scrum (sprint 2 tuần)</t>
  </si>
  <si>
    <t xml:space="preserve">Sự kiện</t>
  </si>
  <si>
    <t xml:space="preserve">Khi nào</t>
  </si>
  <si>
    <t xml:space="preserve">Làm gì</t>
  </si>
  <si>
    <t xml:space="preserve">Đầu ra</t>
  </si>
  <si>
    <t xml:space="preserve">Sprint Planning</t>
  </si>
  <si>
    <t xml:space="preserve">Buổi họp thứ Ba đầu mỗi sprint: 29/09, 13/10, 27/10, 10/11, 24/11/2026.</t>
  </si>
  <si>
    <t xml:space="preserve">Chọn module của sprint từ Product Backlog, xác nhận phụ thuộc, giao người làm.</t>
  </si>
  <si>
    <t xml:space="preserve">Cột Sprint + Owner trong sheet Product Backlog.</t>
  </si>
  <si>
    <t xml:space="preserve">Họp đồng bộ (thay Daily Scrum)</t>
  </si>
  <si>
    <t xml:space="preserve">Thứ Ba + thứ Sáu hằng tuần (lịch họp cố định của nhóm).</t>
  </si>
  <si>
    <t xml:space="preserve">Mỗi người: đã làm gì, sẽ làm gì, đang vướng gì.</t>
  </si>
  <si>
    <t xml:space="preserve">Cột Trạng thái được cập nhật; việc vướng ghi vào sheet Issues của Project Tracking.</t>
  </si>
  <si>
    <t xml:space="preserve">Backlog Refinement</t>
  </si>
  <si>
    <t xml:space="preserve">Thứ Sáu tuần đầu của mỗi sprint.</t>
  </si>
  <si>
    <t xml:space="preserve">Làm rõ các module của sprint kế tiếp, điều chỉnh phụ thuộc và man-day.</t>
  </si>
  <si>
    <t xml:space="preserve">Product Backlog sẵn sàng cho Sprint Planning sau.</t>
  </si>
  <si>
    <t xml:space="preserve">Sprint Review</t>
  </si>
  <si>
    <t xml:space="preserve">Cuối sprint, trùng mốc nộp của trường: 12/10, 26/10, 09/11, 23/11, 07/12/2026.</t>
  </si>
  <si>
    <t xml:space="preserve">Demo increment với GVHD, nhận góp ý.</t>
  </si>
  <si>
    <t xml:space="preserve">Góp ý ghi vào sheet Q&amp;A / Issues; tag release trên GitHub.</t>
  </si>
  <si>
    <t xml:space="preserve">Sprint Retrospective</t>
  </si>
  <si>
    <t xml:space="preserve">Ngay sau Sprint Review.</t>
  </si>
  <si>
    <t xml:space="preserve">Điều gì làm tốt, điều gì chưa tốt, chọn 1–2 cải tiến.</t>
  </si>
  <si>
    <t xml:space="preserve">Ghi chú cải tiến áp dụng cho sprint sau.</t>
  </si>
  <si>
    <t xml:space="preserve">3. Artifact</t>
  </si>
  <si>
    <t xml:space="preserve">Artifact</t>
  </si>
  <si>
    <t xml:space="preserve">Ở đâu</t>
  </si>
  <si>
    <t xml:space="preserve">Ghi chú</t>
  </si>
  <si>
    <t xml:space="preserve">Product Backlog</t>
  </si>
  <si>
    <t xml:space="preserve">Sheet 'Product Backlog' (71 module, sắp theo thứ tự làm).</t>
  </si>
  <si>
    <t xml:space="preserve">Mỗi module = 1 function trong R3 (mục 3.2–3.18) hoặc 1 hạng mục kỹ thuật / Mobile từ R2.</t>
  </si>
  <si>
    <t xml:space="preserve">Sprint Backlog</t>
  </si>
  <si>
    <t xml:space="preserve">Lọc cột Sprint trong sheet 'Product Backlog'.</t>
  </si>
  <si>
    <t xml:space="preserve">Tiến độ từng sprint tự tính ở sheet 'Sprint'.</t>
  </si>
  <si>
    <t xml:space="preserve">Increment</t>
  </si>
  <si>
    <t xml:space="preserve">Bản build trên Railway + Vercel (Web) và bản build Mobile.</t>
  </si>
  <si>
    <t xml:space="preserve">Gắn tag release ở mỗi mốc nộp (R2 mục 6.2).</t>
  </si>
  <si>
    <t xml:space="preserve">4. Definition of Done (một module được tính "Hoàn thành" khi)</t>
  </si>
  <si>
    <t xml:space="preserve">DoD-1</t>
  </si>
  <si>
    <t xml:space="preserve">Code đã merge vào main qua Pull Request, có ít nhất 1 người review (R2 mục 6.2).</t>
  </si>
  <si>
    <t xml:space="preserve">DoD-2</t>
  </si>
  <si>
    <t xml:space="preserve">Đúng Function Details và Business Rules trong R3, đúng bảng quyền Screen Authorization (R3 mục 3.1.3).</t>
  </si>
  <si>
    <t xml:space="preserve">DoD-3</t>
  </si>
  <si>
    <t xml:space="preserve">Logic workflow Case có unit test (mục tiêu ≥ 70% — R2 mục 1.2); API có test tích hợp với DB.</t>
  </si>
  <si>
    <t xml:space="preserve">DoD-4</t>
  </si>
  <si>
    <t xml:space="preserve">Các thao tác cần ghi Audit Log đã được ghi.</t>
  </si>
  <si>
    <t xml:space="preserve">DoD-5</t>
  </si>
  <si>
    <t xml:space="preserve">Chạy được trên bản deploy (Web) hoặc bản build (Mobile).</t>
  </si>
  <si>
    <t xml:space="preserve">DoD-6</t>
  </si>
  <si>
    <t xml:space="preserve">Đã cập nhật Trạng thái trong file này và trên Trello.</t>
  </si>
  <si>
    <t xml:space="preserve">5. Quy ước trạng thái (khớp cột Trello)</t>
  </si>
  <si>
    <t xml:space="preserve">Trạng thái</t>
  </si>
  <si>
    <t xml:space="preserve">Nghĩa</t>
  </si>
  <si>
    <t xml:space="preserve">Cột Trello tương ứng</t>
  </si>
  <si>
    <t xml:space="preserve">Chưa làm</t>
  </si>
  <si>
    <t xml:space="preserve">Đã có trong backlog, chưa bắt đầu.</t>
  </si>
  <si>
    <t xml:space="preserve">Backlog / Ready</t>
  </si>
  <si>
    <t xml:space="preserve">Đang làm</t>
  </si>
  <si>
    <t xml:space="preserve">Đang code.</t>
  </si>
  <si>
    <t xml:space="preserve">Doing</t>
  </si>
  <si>
    <t xml:space="preserve">Chờ review</t>
  </si>
  <si>
    <t xml:space="preserve">Đã mở Pull Request, chờ review/test.</t>
  </si>
  <si>
    <t xml:space="preserve">Review</t>
  </si>
  <si>
    <t xml:space="preserve">Hoàn thành</t>
  </si>
  <si>
    <t xml:space="preserve">Đạt đủ Definition of Done.</t>
  </si>
  <si>
    <t xml:space="preserve">Done</t>
  </si>
  <si>
    <t xml:space="preserve">Bị chặn</t>
  </si>
  <si>
    <t xml:space="preserve">Kẹt vì phụ thuộc hoặc câu hỏi chưa trả lời (ghi lý do ở cột Ghi chú).</t>
  </si>
  <si>
    <t xml:space="preserve">Blocked</t>
  </si>
  <si>
    <t xml:space="preserve">6. Giả định &amp; nguồn</t>
  </si>
  <si>
    <t xml:space="preserve">•</t>
  </si>
  <si>
    <t xml:space="preserve">Nội dung module lấy từ Report 3 (SRS) mục 3.2–3.18: 43 function + 8 chức năng chạy nền. Module Hạ tầng và Mobile lấy từ Report 2 (WBS 1.2, 7.1–7.3) và tech stack đã chốt (.NET, React + Vite, Supabase, Railway + Vercel, Replicate, Flutter).</t>
  </si>
  <si>
    <t xml:space="preserve">Man-day: tổng 100 theo bảng WBS của Report 2 mục 1.1. Mỗi module gắn 1 dòng WBS, tổng từng dòng khớp R2 (xem sheet Đối chiếu WBS R2). Module hạ tầng được tính vào dòng 1.2.</t>
  </si>
  <si>
    <t xml:space="preserve">Function 3.11.1 và 3.11.2 của R3 được tách mỗi cái thành 2 module để khớp đúng dòng WBS 5.1 / 5.2 / 5.3.</t>
  </si>
  <si>
    <t xml:space="preserve">Một số module kỹ thuật không đứng riêng trong R3 (upload ảnh, cập nhật gần thời gian thực, thiết kế prompt, giới hạn AI, push notification) được tách ra từ các yêu cầu đã có trong R3/R2 — không thêm tính năng mới.</t>
  </si>
  <si>
    <t xml:space="preserve">Lịch sprint theo mốc nộp ở R2 mục 3. Sprint S3 và S4 có cả việc Mobile chạy song song với Web.</t>
  </si>
  <si>
    <t xml:space="preserve">Cột Owner để trống — phân vai sau.</t>
  </si>
  <si>
    <t xml:space="preserve">7. Cách dùng file</t>
  </si>
  <si>
    <t xml:space="preserve">Chỉ nhập vào ô nền vàng: Owner, Trạng thái, Ghi chú (sheet Product Backlog) và cột Người đảm nhận ở trên.</t>
  </si>
  <si>
    <t xml:space="preserve">Sheet 'Sprint' và 'Đối chiếu WBS R2' tự tính bằng công thức — không cần sửa tay.</t>
  </si>
  <si>
    <t xml:space="preserve">Muốn chuyển module sang sprint khác: đổi ô Sprint (chọn từ danh sách S1–S5), số liệu sprint tự cập nhật.</t>
  </si>
  <si>
    <t xml:space="preserve">KẾ HOẠCH SPRINT (2 tuần / sprint)</t>
  </si>
  <si>
    <t xml:space="preserve">Các cột số liệu tự tính từ sheet Product Backlog.</t>
  </si>
  <si>
    <t xml:space="preserve">Sprint</t>
  </si>
  <si>
    <t xml:space="preserve">Tuần</t>
  </si>
  <si>
    <t xml:space="preserve">Từ ngày</t>
  </si>
  <si>
    <t xml:space="preserve">Đến ngày</t>
  </si>
  <si>
    <t xml:space="preserve">Mốc nộp của trường</t>
  </si>
  <si>
    <t xml:space="preserve">Sprint goal</t>
  </si>
  <si>
    <t xml:space="preserve">Số module</t>
  </si>
  <si>
    <t xml:space="preserve">Man-day kế hoạch</t>
  </si>
  <si>
    <t xml:space="preserve">Trong đó Mobile</t>
  </si>
  <si>
    <t xml:space="preserve">Man-day đã xong</t>
  </si>
  <si>
    <t xml:space="preserve">% hoàn thành</t>
  </si>
  <si>
    <t xml:space="preserve">S1</t>
  </si>
  <si>
    <t xml:space="preserve">Tuần 4–5</t>
  </si>
  <si>
    <t xml:space="preserve">Report 4, Report 5 (skeleton) + Code Frame — 12/10/2026 (tuần 5)</t>
  </si>
  <si>
    <t xml:space="preserve">Code frame: dựng hạ tầng (repo, backend .NET, web React, CSDL 17 entity, deploy), đăng nhập &amp; phiên, phân quyền 5 role, khung ứng dụng + Home khung, hồ sơ cá nhân, quản lý user do Admin tạo (hệ thống không có tự đăng ký — BR-14).</t>
  </si>
  <si>
    <t xml:space="preserve">S2</t>
  </si>
  <si>
    <t xml:space="preserve">Tuần 6–7</t>
  </si>
  <si>
    <t xml:space="preserve">Software Package 1 (Case core) + cập nhật R3–R5 — 26/10/2026 (tuần 7)</t>
  </si>
  <si>
    <t xml:space="preserve">Luồng Case lõi chạy trọn: Employee gửi yêu cầu có ảnh → Officer claim, duyệt, giao KTV → Technician nhận, sửa, hoàn thành → Officer xác nhận đóng / mở lại; hủy, đánh giá; thông báo theo mốc.</t>
  </si>
  <si>
    <t xml:space="preserve">S3</t>
  </si>
  <si>
    <t xml:space="preserve">Tuần 8–9</t>
  </si>
  <si>
    <t xml:space="preserve">Software Package 2 (Preventive Maintenance) — 09/11/2026 (tuần 9)</t>
  </si>
  <si>
    <t xml:space="preserve">Bảo trì định kỳ (kế hoạch, lịch, tự sinh work order, kiểm tra, hồ sơ); vòng đời thiết bị (nhập hàng loạt, thanh lý, QR); hoàn thiện điều phối Case (theo dõi, SLA, tìm kiếm, audit, trung tâm thông báo); Mobile bắt đầu với Employee + Technician.</t>
  </si>
  <si>
    <t xml:space="preserve">S4</t>
  </si>
  <si>
    <t xml:space="preserve">Tuần 10–11</t>
  </si>
  <si>
    <t xml:space="preserve">Software Package 3 (Analytics + AI-assisted) — 23/11/2026 (tuần 11)</t>
  </si>
  <si>
    <t xml:space="preserve">Analytics (Manager home, KPI, hiệu suất KTV, xu hướng hỏng, xuất báo cáo) và AI-assisted support theo RBAC; Mobile Officer + push + chức năng dùng chung. Mốc nội bộ: xong mức Package 3 ngay trong tuần 10.</t>
  </si>
  <si>
    <t xml:space="preserve">S5</t>
  </si>
  <si>
    <t xml:space="preserve">Tuần 12–13</t>
  </si>
  <si>
    <t xml:space="preserve">Full Software Package + System Test — 07/12/2026 (tuần 13)</t>
  </si>
  <si>
    <t xml:space="preserve">Mobile Manager + Administrator (đủ 5 role, Web = Mobile); system test toàn bộ Web + Mobile, sửa lỗi, kiểm tra bảo mật AI (buffer).</t>
  </si>
  <si>
    <t xml:space="preserve">Tổng</t>
  </si>
  <si>
    <t xml:space="preserve">Ghi chú: ngày sprint và mốc nộp lấy từ Report 2 mục 3 (Project Deliverables); tuần 1 bắt đầu 08/09/2026. Sprint S3–S4 có việc Mobile (Tùng) chạy song song với Web/Backend.</t>
  </si>
  <si>
    <t xml:space="preserve">PRODUCT BACKLOG — SmartMaint</t>
  </si>
  <si>
    <t xml:space="preserve">Ô nền vàng (Owner, Trạng thái, Ghi chú) là ô nhóm cập nhật. Man-day theo WBS Report 2 (tổng 100). Nội dung theo Report 3 mục 3.2–3.18.</t>
  </si>
  <si>
    <t xml:space="preserve">STT</t>
  </si>
  <si>
    <t xml:space="preserve">Mã module</t>
  </si>
  <si>
    <t xml:space="preserve">Tên module</t>
  </si>
  <si>
    <t xml:space="preserve">Nhóm chức năng</t>
  </si>
  <si>
    <t xml:space="preserve">Mục R3</t>
  </si>
  <si>
    <t xml:space="preserve">Loại</t>
  </si>
  <si>
    <t xml:space="preserve">Việc / tính năng cần làm</t>
  </si>
  <si>
    <t xml:space="preserve">Màn hình / chức năng liên quan</t>
  </si>
  <si>
    <t xml:space="preserve">Business rule</t>
  </si>
  <si>
    <t xml:space="preserve">Phụ thuộc</t>
  </si>
  <si>
    <t xml:space="preserve">Mục WBS (R2)</t>
  </si>
  <si>
    <t xml:space="preserve">Man-day</t>
  </si>
  <si>
    <t xml:space="preserve">Owner</t>
  </si>
  <si>
    <t xml:space="preserve">M-01</t>
  </si>
  <si>
    <t xml:space="preserve">Thiết lập repo &amp; quy trình Git</t>
  </si>
  <si>
    <t xml:space="preserve">Hạ tầng dự án</t>
  </si>
  <si>
    <t xml:space="preserve">—</t>
  </si>
  <si>
    <t xml:space="preserve">Hạ tầng</t>
  </si>
  <si>
    <t xml:space="preserve">• Tạo cấu trúc thư mục backend/, frontend/, mobile/, docs/ trong repo SmartMaint
• Nhánh main luôn chạy được; làm việc trên feature branch, merge qua Pull Request có ít nhất 1 review (R2 mục 6.2)
• Gắn tag release ở mỗi mốc nộp (tuần 5, 7, 9, 11, 13)
• .gitignore, .env.example liệt kê đủ biến môi trường; sửa README từ NestJS sang .NET
• GitHub Actions: tự build + chạy test backend và frontend mỗi PR</t>
  </si>
  <si>
    <t xml:space="preserve">1.2</t>
  </si>
  <si>
    <t xml:space="preserve">M-02</t>
  </si>
  <si>
    <t xml:space="preserve">Khung Backend .NET (C#)</t>
  </si>
  <si>
    <t xml:space="preserve">Backend</t>
  </si>
  <si>
    <t xml:space="preserve">• Tạo solution chia theo module nghiệp vụ: Auth, User, Case, Asset, Preventive, Analytics, AI, Notification, Audit
• Tách rõ controller / service / DTO; validate dữ liệu đầu vào dùng chung
• Middleware xử lý lỗi chung: trả mã tham chiếu cho lỗi 500 (dùng ở ERR-03)
• Cấu hình JWT, Swagger (tài liệu API), logging</t>
  </si>
  <si>
    <t xml:space="preserve">M-03</t>
  </si>
  <si>
    <t xml:space="preserve">Khung Web React + Vite</t>
  </si>
  <si>
    <t xml:space="preserve">Web</t>
  </si>
  <si>
    <t xml:space="preserve">• Cấu trúc thư mục features/ – shared/ – lib/
• Routing theo role; route guard chặn trang không có quyền
• API client + interceptor gắn token, bắt lỗi 401 để mở AUTH-05
• Design token (màu trạng thái, font) theo HTML prototype; khung song ngữ Anh/Việt</t>
  </si>
  <si>
    <t xml:space="preserve">M-04</t>
  </si>
  <si>
    <t xml:space="preserve">Cơ sở dữ liệu &amp; dữ liệu mẫu (17 entity)</t>
  </si>
  <si>
    <t xml:space="preserve">3.1.5 ERD</t>
  </si>
  <si>
    <t xml:space="preserve">• Tạo schema PostgreSQL trên Supabase theo ERD 17 entity: Building, Floor, Room, AssetCategory, Asset, User, Case, CaseComment, CaseAttachment, PreventivePlan, InspectionRecord, AuditLog, AIConversation, Notification, IssueType, RootCause, SystemSetting
• Quan hệ PreventivePlan nhiều–nhiều Asset (bảng trung gian)
• Migration (EF Core) để dựng lại DB được bất cứ lúc nào
• Seed dữ liệu mẫu: tòa nhà/tầng/phòng/thiết bị, user đủ 5 role, danh mục, cài đặt SLA mặc định</t>
  </si>
  <si>
    <t xml:space="preserve">M-05</t>
  </si>
  <si>
    <t xml:space="preserve">Triển khai Railway + Vercel</t>
  </si>
  <si>
    <t xml:space="preserve">4.1</t>
  </si>
  <si>
    <t xml:space="preserve">• Deploy backend .NET lên Railway, web React lên Vercel
• Cấu hình biến môi trường, kết nối Supabase, CORS
• Có link demo online cho code frame; tự deploy lại khi merge vào main</t>
  </si>
  <si>
    <t xml:space="preserve">M-02, M-03, M-04</t>
  </si>
  <si>
    <t xml:space="preserve">M-06</t>
  </si>
  <si>
    <t xml:space="preserve">Phân quyền RBAC 5 role</t>
  </si>
  <si>
    <t xml:space="preserve">3.1.3</t>
  </si>
  <si>
    <t xml:space="preserve">• Policy/attribute phân quyền dùng chung, không kiểm tra tay từng chỗ
• Phạm vi dữ liệu theo role: của mình / được giao / tất cả / không có
• Administrator không xem được nội dung case ở bất kỳ đâu (BR-11)
• Mọi lần bị chặn (403) đều ghi Audit Log
• Test tự động bảng Screen Authorization (3.1.3) cho 5 role</t>
  </si>
  <si>
    <t xml:space="preserve">3.1.3 Screen Authorization</t>
  </si>
  <si>
    <t xml:space="preserve">BR-11, BR-16</t>
  </si>
  <si>
    <t xml:space="preserve">M-02, M-04</t>
  </si>
  <si>
    <t xml:space="preserve">M-07</t>
  </si>
  <si>
    <t xml:space="preserve">Đăng nhập</t>
  </si>
  <si>
    <t xml:space="preserve">Đăng nhập &amp; khôi phục tài khoản</t>
  </si>
  <si>
    <t xml:space="preserve">3.2.1</t>
  </si>
  <si>
    <t xml:space="preserve">Web + Backend</t>
  </si>
  <si>
    <t xml:space="preserve">• Form email + mật khẩu; báo lỗi trường trống ngay ở client
• Sai thông tin: chỉ báo chung "Email or password is incorrect"
• Sai 5 lần → khóa 15 phút; tài khoản bị vô hiệu → AUTH-06
• Nhớ link mở trước khi đăng nhập (thông báo, QR) và mở lại sau khi đăng nhập
• Chuyển về Home đúng role, hoặc AUTH-04 nếu là mật khẩu tạm
• Không có tự đăng ký — tài khoản chỉ do Admin tạo (BR-14); ghi Audit Log mọi lần đăng nhập</t>
  </si>
  <si>
    <t xml:space="preserve">AUTH-01</t>
  </si>
  <si>
    <t xml:space="preserve">BR-14, BR-16, BR-18</t>
  </si>
  <si>
    <t xml:space="preserve">M-06, M-03</t>
  </si>
  <si>
    <t xml:space="preserve">1.1</t>
  </si>
  <si>
    <t xml:space="preserve">M-08</t>
  </si>
  <si>
    <t xml:space="preserve">Quên &amp; đặt lại mật khẩu</t>
  </si>
  <si>
    <t xml:space="preserve">3.2.2</t>
  </si>
  <si>
    <t xml:space="preserve">• AUTH-02: nhập email, luôn hiện cùng một thông báo (không lộ email nào có tài khoản)
• Gửi email chứa link đặt lại (tích hợp dịch vụ gửi email, dùng lại cho thông báo sau này)
• Link hiệu lực 30 phút, dùng 1 lần; gửi lại tối đa 1 lần/60 giây
• AUTH-03: checklist mật khẩu trực tiếp (≥ 8 ký tự, có hoa, thường, số; khác mật khẩu cũ)
• Lưu xong: kết thúc các phiên khác + gửi email xác nhận; ghi Audit Log</t>
  </si>
  <si>
    <t xml:space="preserve">AUTH-02, AUTH-03</t>
  </si>
  <si>
    <t xml:space="preserve">BR-16, BR-18</t>
  </si>
  <si>
    <t xml:space="preserve">M-09</t>
  </si>
  <si>
    <t xml:space="preserve">Đổi mật khẩu lần đầu &amp; quản lý phiên</t>
  </si>
  <si>
    <t xml:space="preserve">3.2.3</t>
  </si>
  <si>
    <t xml:space="preserve">• AUTH-04: chặn mọi trang cho tới khi đổi mật khẩu tạm (cùng quy tắc AUTH-03)
• Phiên 8 tiếng (chỉnh được ở ADM-07); cảnh báo trước 5 phút
• AUTH-05: lớp phủ hết phiên, đăng nhập lại quay về đúng trang, giữ dữ liệu đang gõ
• AUTH-06: tài khoản bị vô hiệu; đăng xuất ngay nếu Admin vô hiệu khi đang dùng</t>
  </si>
  <si>
    <t xml:space="preserve">AUTH-04, AUTH-05, AUTH-06</t>
  </si>
  <si>
    <t xml:space="preserve">BR-18</t>
  </si>
  <si>
    <t xml:space="preserve">M-10</t>
  </si>
  <si>
    <t xml:space="preserve">Khung ứng dụng &amp; điều hướng</t>
  </si>
  <si>
    <t xml:space="preserve">Khung ứng dụng &amp; trang hệ thống</t>
  </si>
  <si>
    <t xml:space="preserve">3.3.1</t>
  </si>
  <si>
    <t xml:space="preserve">• Menu trái chỉ gồm các màn role được mở; top bar có ô tìm kiếm, chuông thông báo (hiện số tới 99, sau đó "99+"), menu avatar
• Nút AI nổi góc dưới phải (giao diện chat làm ở module AI Assistant)
• Dưới 1024 px menu thu thành nút hamburger, bảng cuộn ngang
• Menu Administrator không có mục liên quan case (BR-11)
• Trang Home khung cho 5 role (nội dung hoàn thiện ở các sprint sau)
• Đăng xuất: chỉ hỏi xác nhận khi form còn thay đổi chưa lưu (DLG-19)</t>
  </si>
  <si>
    <t xml:space="preserve">COM-01</t>
  </si>
  <si>
    <t xml:space="preserve">BR-11</t>
  </si>
  <si>
    <t xml:space="preserve">M-03, M-06</t>
  </si>
  <si>
    <t xml:space="preserve">M-11</t>
  </si>
  <si>
    <t xml:space="preserve">Trang lỗi &amp; mất kết nối</t>
  </si>
  <si>
    <t xml:space="preserve">3.3.2</t>
  </si>
  <si>
    <t xml:space="preserve">• ERR-01 Không có quyền (403) — không xác nhận bản ghi có tồn tại hay không
• ERR-02 Không tìm thấy (404); ERR-03 Lỗi máy chủ (500) kèm mã tham chiếu
• Lỗi một phần trang: "Could not load. Retry" tại chỗ
• ERR-04 Mất mạng: thanh báo trên cùng, tắt nút Submit, tự tiếp tục upload khi có mạng lại
• Luôn có nút về Home của role</t>
  </si>
  <si>
    <t xml:space="preserve">ERR-01 → ERR-04</t>
  </si>
  <si>
    <t xml:space="preserve">BR-16</t>
  </si>
  <si>
    <t xml:space="preserve">M-12</t>
  </si>
  <si>
    <t xml:space="preserve">Tham chiếu vai trò &amp; quyền</t>
  </si>
  <si>
    <t xml:space="preserve">Quản trị người dùng &amp; truy cập</t>
  </si>
  <si>
    <t xml:space="preserve">3.12.4</t>
  </si>
  <si>
    <t xml:space="preserve">• Trang chỉ đọc cho Admin: bảng năng lực × 5 role (Yes / View only / Own only / No)
• Sinh từ chính bộ quy tắc phân quyền đang chạy nên không bị lệch
• Mỗi role có 1 dòng ghi chú AI được trả lời trong phạm vi nào</t>
  </si>
  <si>
    <t xml:space="preserve">ADM-05</t>
  </si>
  <si>
    <t xml:space="preserve">M-13</t>
  </si>
  <si>
    <t xml:space="preserve">Hồ sơ cá nhân &amp; đổi mật khẩu</t>
  </si>
  <si>
    <t xml:space="preserve">Tài khoản cá nhân</t>
  </si>
  <si>
    <t xml:space="preserve">3.4.1</t>
  </si>
  <si>
    <t xml:space="preserve">• COM-02: sửa tên, số điện thoại, ảnh đại diện; role/email/phòng ban/mã NV chỉ đọc; hiện lần đăng nhập gần nhất
• COM-03: cần mật khẩu hiện tại + mật khẩu mới theo checklist AUTH-03
• Sai mật khẩu hiện tại 5 lần → đăng xuất; đổi xong giữ phiên hiện tại, kết thúc phiên khác, gửi email
• Ghi Audit Log mọi thay đổi</t>
  </si>
  <si>
    <t xml:space="preserve">COM-02, COM-03</t>
  </si>
  <si>
    <t xml:space="preserve">M-09, M-10</t>
  </si>
  <si>
    <t xml:space="preserve">1.3</t>
  </si>
  <si>
    <t xml:space="preserve">M-14</t>
  </si>
  <si>
    <t xml:space="preserve">Trang chủ Administrator</t>
  </si>
  <si>
    <t xml:space="preserve">3.12.1</t>
  </si>
  <si>
    <t xml:space="preserve">• Số user active / bị khóa / chưa đăng nhập; user theo role; sự kiện audit mới nhất
• Cảnh báo chất lượng dữ liệu (phòng không có thiết bị, thiết bị không có loại, loại sự cố chưa dùng, KTV chưa có chuyên môn) — phần liên quan thiết bị hoàn thiện khi có module Asset
• Không hiển thị bất kỳ số liệu case nào (BR-11); nút nhanh thêm user / thêm thiết bị</t>
  </si>
  <si>
    <t xml:space="preserve">ADM-01</t>
  </si>
  <si>
    <t xml:space="preserve">M-10, M-06</t>
  </si>
  <si>
    <t xml:space="preserve">M-15</t>
  </si>
  <si>
    <t xml:space="preserve">Danh sách &amp; chi tiết người dùng</t>
  </si>
  <si>
    <t xml:space="preserve">3.12.2</t>
  </si>
  <si>
    <t xml:space="preserve">• ADM-02: tìm kiếm, lọc toàn bộ tài khoản; menu dòng mở các thao tác tài khoản
• ADM-04: thông tin đầy đủ + số liệu hoạt động (chỉ đếm, không nội dung case) + sự kiện audit gần đây
• Dòng của chính Admin không có nút Vô hiệu; luôn phải còn ít nhất 1 Admin hoạt động</t>
  </si>
  <si>
    <t xml:space="preserve">ADM-02, ADM-04</t>
  </si>
  <si>
    <t xml:space="preserve">M-16</t>
  </si>
  <si>
    <t xml:space="preserve">Tạo/sửa người dùng &amp; thao tác tài khoản</t>
  </si>
  <si>
    <t xml:space="preserve">3.12.3</t>
  </si>
  <si>
    <t xml:space="preserve">• ADM-03: họ tên 2–60 ký tự, email hợp lệ &amp; duy nhất, role (1 trong 5), mã NV duy nhất nếu có; chuyên môn cho Technician
• Sinh mật khẩu tạm (hiện 1 lần và/hoặc gửi email), bắt đổi ở lần đăng nhập đầu
• DLG-16: đặt lại mật khẩu, mở khóa, vô hiệu/kích hoạt lại, buộc đăng xuất
• Chặn vô hiệu Admin cuối cùng; chặn đổi role/vô hiệu Technician còn work order đang mở
• Ghi Audit Log kèm giá trị cũ/mới</t>
  </si>
  <si>
    <t xml:space="preserve">ADM-03, DLG-16</t>
  </si>
  <si>
    <t xml:space="preserve">BR-14, BR-16</t>
  </si>
  <si>
    <t xml:space="preserve">M-17</t>
  </si>
  <si>
    <t xml:space="preserve">Ghi Audit Log (chạy nền)</t>
  </si>
  <si>
    <t xml:space="preserve">Chức năng không có màn hình</t>
  </si>
  <si>
    <t xml:space="preserve">3.18.8</t>
  </si>
  <si>
    <t xml:space="preserve">• Ghi mọi lần đăng nhập, thay đổi dữ liệu, đổi trạng thái, xuất báo cáo, câu hỏi AI
• Chỉ thêm, không sửa/xóa; lưu 12 tháng; lưu giá trị cũ/mới
• Sự kiện AI: Administrator chỉ thấy metadata (ai hỏi, lúc nào, phạm vi, đánh giá), không thấy nội dung câu hỏi/trả lời</t>
  </si>
  <si>
    <t xml:space="preserve">3.18.8 (NSF)</t>
  </si>
  <si>
    <t xml:space="preserve">3.5</t>
  </si>
  <si>
    <t xml:space="preserve">M-18</t>
  </si>
  <si>
    <t xml:space="preserve">Cây cơ sở vật chất (tòa nhà/tầng/phòng)</t>
  </si>
  <si>
    <t xml:space="preserve">Cơ sở vật chất &amp; danh mục thiết bị</t>
  </si>
  <si>
    <t xml:space="preserve">3.14.1</t>
  </si>
  <si>
    <t xml:space="preserve">• AST-01: cây Building → Floor → Room, mỗi nút có số thiết bị / case đang mở (ẩn số case với ai không được xem case)
• DLG-15: thêm/sửa nút (tên + mã duy nhất, loại phòng/diện tích, ghi chú) — chỉ Admin; Officer, Manager chỉ xem (BR-09)
• Chỉ vô hiệu, không xóa nơi đã có thiết bị/lịch sử; chặn vô hiệu nơi còn case đang mở
• Đổi mã tự cập nhật các bản ghi cũ tham chiếu</t>
  </si>
  <si>
    <t xml:space="preserve">AST-01, DLG-15</t>
  </si>
  <si>
    <t xml:space="preserve">BR-09, BR-10</t>
  </si>
  <si>
    <t xml:space="preserve">M-06, M-04</t>
  </si>
  <si>
    <t xml:space="preserve">2.1</t>
  </si>
  <si>
    <t xml:space="preserve">M-19</t>
  </si>
  <si>
    <t xml:space="preserve">Danh mục bảo trì</t>
  </si>
  <si>
    <t xml:space="preserve">Cấu hình hệ thống &amp; audit</t>
  </si>
  <si>
    <t xml:space="preserve">3.13.1</t>
  </si>
  <si>
    <t xml:space="preserve">• ADM-06: quản lý 3 danh sách — loại sự cố, loại thiết bị, nguyên nhân gốc
• DLG-23: thêm/sửa 1 mục (tên duy nhất, mô tả hiện làm gợi ý, công tắc hoạt động)
• Kéo thả sắp xếp lưu ngay; vô hiệu mục thì ẩn khỏi lựa chọn nhưng vẫn hiện trên bản ghi cũ
• Chỉ xóa được mục chưa dùng; luôn còn ít nhất 1 loại sự cố và 1 loại thiết bị hoạt động</t>
  </si>
  <si>
    <t xml:space="preserve">ADM-06, DLG-23</t>
  </si>
  <si>
    <t xml:space="preserve">M-20</t>
  </si>
  <si>
    <t xml:space="preserve">Danh sách &amp; chi tiết thiết bị</t>
  </si>
  <si>
    <t xml:space="preserve">3.14.2</t>
  </si>
  <si>
    <t xml:space="preserve">• AST-02: danh sách thiết bị có bộ lọc, thao tác theo role (Admin thêm/nhập/sửa/thanh lý; Officer xem, đổi trạng thái, tạo case; Manager chỉ xem)
• AST-03: tab Tổng quan, Lịch sử bảo trì, Kế hoạch định kỳ, Thống kê hỏng
• Admin không thấy tab Lịch sử và Thống kê (BR-11)
• Tag đỏ "Frequent failures" khi ≥ 3 lần sửa trong 30 ngày; thiết bị đã thanh lý ẩn mặc định ("Show retired")</t>
  </si>
  <si>
    <t xml:space="preserve">AST-02, AST-03</t>
  </si>
  <si>
    <t xml:space="preserve">BR-09, BR-10, BR-11</t>
  </si>
  <si>
    <t xml:space="preserve">M-18, M-19</t>
  </si>
  <si>
    <t xml:space="preserve">2.2</t>
  </si>
  <si>
    <t xml:space="preserve">M-21</t>
  </si>
  <si>
    <t xml:space="preserve">Dịch vụ upload ảnh (Supabase Storage)</t>
  </si>
  <si>
    <t xml:space="preserve">Gửi yêu cầu bảo trì (Employee)</t>
  </si>
  <si>
    <t xml:space="preserve">• Upload/lưu ảnh bằng chứng lên Supabase Storage, link truy cập có kiểm tra quyền
• Chỉ nhận JPG/PNG/WEBP, tối đa 5 MB/ảnh; 5 ảnh/yêu cầu của Employee, 10 ảnh/work order của Technician (BR-17)
• Upload bị gián đoạn thì tiếp tục khi có mạng lại</t>
  </si>
  <si>
    <t xml:space="preserve">(dùng cho EMP-02, TEC-03, TEC-05)</t>
  </si>
  <si>
    <t xml:space="preserve">BR-17</t>
  </si>
  <si>
    <t xml:space="preserve">3.1</t>
  </si>
  <si>
    <t xml:space="preserve">M-22</t>
  </si>
  <si>
    <t xml:space="preserve">Trang chủ Employee</t>
  </si>
  <si>
    <t xml:space="preserve">3.6.1</t>
  </si>
  <si>
    <t xml:space="preserve">• Số yêu cầu đang mở, việc cần Employee trả lời, case chưa đánh giá, yêu cầu gần nhất — chỉ của chính mình
• Khối "Needs your attention" gom phản hồi Need more info + case Closed chưa đánh giá
• Người mới chưa gửi gì: trạng thái trống khích lệ + nút New Request
• Mỗi khối tự tải và thử lại độc lập</t>
  </si>
  <si>
    <t xml:space="preserve">EMP-01</t>
  </si>
  <si>
    <t xml:space="preserve">M-10, M-23</t>
  </si>
  <si>
    <t xml:space="preserve">M-23</t>
  </si>
  <si>
    <t xml:space="preserve">Tạo yêu cầu bảo trì</t>
  </si>
  <si>
    <t xml:space="preserve">3.6.2</t>
  </si>
  <si>
    <t xml:space="preserve">• Form: nơi (Building/Floor/Room dạng dropdown liên kết), loại sự cố, tiêu đề 5–100 ký tự, mô tả 10–1000 ký tự (bắt buộc)
• Tùy chọn: thiết bị ("Not in the list / not sure" nếu không có), tối đa 5 ảnh, mức khẩn cấp gợi ý
• Tạo Case trạng thái Pending, mã case do hệ thống sinh
• Khóa nút Submit sau lần bấm đầu; cảnh báo (không chặn) khi thiết bị đã có case đang mở
• Gửi lỗi vẫn giữ nội dung và ảnh đã nhập; Officer mới là người chốt ưu tiên (BR-01)</t>
  </si>
  <si>
    <t xml:space="preserve">EMP-02</t>
  </si>
  <si>
    <t xml:space="preserve">BR-01, BR-17</t>
  </si>
  <si>
    <t xml:space="preserve">M-21, M-18, M-19</t>
  </si>
  <si>
    <t xml:space="preserve">M-24</t>
  </si>
  <si>
    <t xml:space="preserve">Yêu cầu của tôi, sửa &amp; bổ sung thông tin</t>
  </si>
  <si>
    <t xml:space="preserve">3.6.3</t>
  </si>
  <si>
    <t xml:space="preserve">• EMP-03: toàn bộ yêu cầu (kể cả do Officer tạo hộ), lọc, 20 dòng/trang; nút Reply / Rate / Cancel theo trạng thái
• EMP-04: dùng lại form New Request — trả lời câu hỏi của Officer (10–1000 ký tự) để quay về Pending, hoặc sửa khi còn Pending
• Qua Pending rồi thì không sửa được, chỉ bình luận trên COM-08
• Yêu cầu do Officer tạo hộ: Employee được trả lời nhưng không sửa nội dung gốc
• Trạng thái cập nhật trong khoảng 30 giây không cần tải lại</t>
  </si>
  <si>
    <t xml:space="preserve">EMP-03, EMP-04</t>
  </si>
  <si>
    <t xml:space="preserve">M-25</t>
  </si>
  <si>
    <t xml:space="preserve">Trang chi tiết Case</t>
  </si>
  <si>
    <t xml:space="preserve">Chi tiết Case (dùng chung)</t>
  </si>
  <si>
    <t xml:space="preserve">3.7.1</t>
  </si>
  <si>
    <t xml:space="preserve">• COM-08: header, thanh tiến trình, thông tin yêu cầu, báo cáo công việc, timeline, bình luận, đánh giá
• Nút thao tác hiện theo role + trạng thái (bảng trạng thái → thao tác trong R3 3.7.1)
• Báo cáo công việc ẩn với Employee tới khi Completed/Closed; bình luận "Internal note" không tới Employee
• Case đang được Officer khác claim: thanh cam, khóa nút quyết định, nút "Ask to release" (DLG-22)
• Thao tác cần lý do: tối thiểu 10 ký tự; mọi thao tác ghi Timeline + Audit Log
• Phạm vi xem: Employee chỉ case của mình, Officer/Manager tất cả, Admin không mở được (BR-11)</t>
  </si>
  <si>
    <t xml:space="preserve">COM-08</t>
  </si>
  <si>
    <t xml:space="preserve">M-23, M-06</t>
  </si>
  <si>
    <t xml:space="preserve">3.2</t>
  </si>
  <si>
    <t xml:space="preserve">M-26</t>
  </si>
  <si>
    <t xml:space="preserve">Duyệt / Từ chối / Cần thêm thông tin</t>
  </si>
  <si>
    <t xml:space="preserve">3.7.2</t>
  </si>
  <si>
    <t xml:space="preserve">• DLG-01 Approve: chốt ưu tiên (mặc định theo gợi ý), bắt đầu tính SLA, mặc định mở luôn Assign (2 bước tách riêng — BR-20)
• DLG-02 Reject: loại lý do + giải thích 10–500 ký tự, kết thúc vĩnh viễn; lý do "Duplicate" liên kết tới case kia
• DLG-03 Need more info: câu hỏi bắt buộc, nhả claim, nhắc Employee sau 3 ngày chưa trả lời
• Chỉ Officer đang claim case mới thao tác được (BR-02)
• Case bị người khác đổi khi đang mở dialog: đóng dialog và báo tải lại</t>
  </si>
  <si>
    <t xml:space="preserve">DLG-01, DLG-02, DLG-03</t>
  </si>
  <si>
    <t xml:space="preserve">BR-01, BR-02, BR-20</t>
  </si>
  <si>
    <t xml:space="preserve">M-25, M-27</t>
  </si>
  <si>
    <t xml:space="preserve">M-27</t>
  </si>
  <si>
    <t xml:space="preserve">Trang chủ Officer &amp; hàng chờ Case</t>
  </si>
  <si>
    <t xml:space="preserve">Hàng chờ &amp; điều phối Case (Officer)</t>
  </si>
  <si>
    <t xml:space="preserve">3.8.1</t>
  </si>
  <si>
    <t xml:space="preserve">• OFF-01: việc cần quyết định hôm nay (cần duyệt, cần giao, cần xác nhận, quá hạn, yêu cầu mở lại), case mình đang claim (có nút Release), case chờ lâu nhất, case On Hold/bị KTV từ chối, kế hoạch định kỳ tới hạn tuần này
• OFF-02: hàng chờ chung (tab To review, To assign, Reopen requests, Waiting for employee) + khung xem nhanh để claim/duyệt/từ chối/hỏi thêm/giao ngay trong danh sách
• Claim tối đa 5 case/Officer, tự nhả sau 30 phút không thao tác (BR-02); mọi Officer thấy cùng một hàng chờ (BR-19)
• Case mới tới: thanh "N new items. Show", không làm nhảy danh sách</t>
  </si>
  <si>
    <t xml:space="preserve">OFF-01, OFF-02</t>
  </si>
  <si>
    <t xml:space="preserve">BR-02, BR-19</t>
  </si>
  <si>
    <t xml:space="preserve">M-28</t>
  </si>
  <si>
    <t xml:space="preserve">Giao việc, giao lại &amp; tranh chấp claim</t>
  </si>
  <si>
    <t xml:space="preserve">3.7.3</t>
  </si>
  <si>
    <t xml:space="preserve">• DLG-04 Assign: chỉ KTV đang hoạt động, sắp theo chuyên môn khớp rồi tải việc thấp nhất; hạn chót điền sẵn theo SLA (sửa được, không lùi về quá khứ)
• Cảnh báo vàng (không chặn) khi KTV đã có ≥ 8 work order đang mở
• DLG-05 Reassign: lý do 10–300 ký tự, giữ nguyên dữ liệu KTV trước đã nhập, không reset đồng hồ SLA
• DLG-22 Claim conflict: claim, nhả, claim hết hạn (30 phút), giới hạn 5 claim
• 1 Case = 1 Work Order, mỗi lúc chỉ 1 KTV (BR-05); gửi thông báo cho KTV</t>
  </si>
  <si>
    <t xml:space="preserve">DLG-04, DLG-05, DLG-22</t>
  </si>
  <si>
    <t xml:space="preserve">BR-02, BR-05, BR-19</t>
  </si>
  <si>
    <t xml:space="preserve">3.3</t>
  </si>
  <si>
    <t xml:space="preserve">M-29</t>
  </si>
  <si>
    <t xml:space="preserve">Tự nhả claim (chạy nền)</t>
  </si>
  <si>
    <t xml:space="preserve">3.18.3</t>
  </si>
  <si>
    <t xml:space="preserve">• Job nền: case được claim mà 30 phút không thao tác thì trả về hàng chờ chung
• Giới hạn tối đa 5 claim/Officer
• Cả 2 con số đọc từ cài đặt ADM-07</t>
  </si>
  <si>
    <t xml:space="preserve">3.18.3 (NSF)</t>
  </si>
  <si>
    <t xml:space="preserve">BR-02</t>
  </si>
  <si>
    <t xml:space="preserve">M-30</t>
  </si>
  <si>
    <t xml:space="preserve">Trang chủ Technician &amp; work order của tôi</t>
  </si>
  <si>
    <t xml:space="preserve">Thực hiện work order (Technician)</t>
  </si>
  <si>
    <t xml:space="preserve">3.9.1</t>
  </si>
  <si>
    <t xml:space="preserve">• TEC-01: việc mới chờ Accept/Reject, kiểm tra định kỳ hôm nay, số liệu tháng của chính mình (không so sánh với KTV khác)
• TEC-02: tab New, Accepted, In Progress, On Hold; sắp theo ưu tiên rồi hạn chót; nút Accept/Reject hoặc Start/Continue
• Chỉ thấy work order giao cho mình; work order bị giao lại biến mất kèm thông báo
• Tag đỏ tự động khi quá hạn</t>
  </si>
  <si>
    <t xml:space="preserve">TEC-01, TEC-02</t>
  </si>
  <si>
    <t xml:space="preserve">BR-13</t>
  </si>
  <si>
    <t xml:space="preserve">3.4</t>
  </si>
  <si>
    <t xml:space="preserve">M-31</t>
  </si>
  <si>
    <t xml:space="preserve">Cập nhật &amp; hoàn thành work order</t>
  </si>
  <si>
    <t xml:space="preserve">3.9.2</t>
  </si>
  <si>
    <t xml:space="preserve">• TEC-03: nút theo trạng thái — Accept/Reject (Assigned, Reopened), Start (Accepted), Hold/Complete (In Progress), Resume (On Hold)
• Nhập nguyên nhân gốc, linh kiện, giờ công, ảnh bằng chứng (tối đa 10); tự lưu mỗi 30 giây
• DLG-09 Reject: chỉ trước khi Accept (BR-13); DLG-10 Put on hold: lý do bắt buộc, dừng đồng hồ SLA
• DLG-11 Confirm completion: chỉ khi đủ nguyên nhân, giờ công &gt; 0, ≥ 1 ảnh; sau đó báo cáo chỉ đọc
• KTV không sửa được nội dung yêu cầu, ưu tiên, hay việc giao; Completed ≠ Closed (Officer còn xác nhận)</t>
  </si>
  <si>
    <t xml:space="preserve">TEC-03, DLG-09, DLG-10, DLG-11</t>
  </si>
  <si>
    <t xml:space="preserve">BR-13, BR-17</t>
  </si>
  <si>
    <t xml:space="preserve">M-30, M-21</t>
  </si>
  <si>
    <t xml:space="preserve">M-32</t>
  </si>
  <si>
    <t xml:space="preserve">Xem ảnh &amp; chặn mất dữ liệu chưa lưu</t>
  </si>
  <si>
    <t xml:space="preserve">Tiện ích giao diện dùng chung</t>
  </si>
  <si>
    <t xml:space="preserve">3.17.1</t>
  </si>
  <si>
    <t xml:space="preserve">• DLG-20: xem ảnh cỡ lớn, phóng to, chuyển ảnh bằng bàn phím, hiện người/lúc upload; nút tải về chỉ cho Officer và Manager
• Báo lỗi upload (sai định dạng, &gt; 5 MB, quá số ảnh, upload bị ngắt)
• DLG-19: hỏi khi rời form có thay đổi chưa lưu, mặc định chọn "Keep editing"; bỏ qua nếu chưa gõ gì</t>
  </si>
  <si>
    <t xml:space="preserve">DLG-19, DLG-20</t>
  </si>
  <si>
    <t xml:space="preserve">M-33</t>
  </si>
  <si>
    <t xml:space="preserve">Xác nhận, đóng &amp; mở lại Case</t>
  </si>
  <si>
    <t xml:space="preserve">3.7.4</t>
  </si>
  <si>
    <t xml:space="preserve">• DLG-06 Verify and close: tick xác nhận, đóng case, báo Employee và mời đánh giá, gợi ý đưa thiết bị về Active
• DLG-07 Reopen: lý do 10–500 ký tự + hạn mới, mặc định giao lại đúng KTV cũ (BR-04), tăng bộ đếm reopen; cảnh báo mềm khi đã mở lại 3 lần
• DLG-13 "Not fixed": Employee báo trong 7 ngày sau khi đóng, 1 lần/case (BR-03)
• DLG-08 Decline reopen: Officer từ chối kèm lý do, case giữ Closed
• Chỉ Officer đóng được case; 2 Officer cùng thao tác thì người sau thấy "already closed by (tên)"</t>
  </si>
  <si>
    <t xml:space="preserve">DLG-06, DLG-07, DLG-08, DLG-13</t>
  </si>
  <si>
    <t xml:space="preserve">BR-03, BR-04, BR-13</t>
  </si>
  <si>
    <t xml:space="preserve">M-34</t>
  </si>
  <si>
    <t xml:space="preserve">Hủy Case &amp; đánh giá dịch vụ</t>
  </si>
  <si>
    <t xml:space="preserve">3.7.5</t>
  </si>
  <si>
    <t xml:space="preserve">• DLG-12 Cancel: Employee hủy khi còn Pending/Need more info; Officer hủy khi case chưa kết thúc, lý do 10–300 ký tự, báo KTV đang được giao
• DLG-14 Rate: 1–5 sao + bình luận ngắn, chỉ sau Closed, gửi rồi không sửa
• Cancelled là trạng thái cuối, vẫn giữ trong lịch sử và báo cáo</t>
  </si>
  <si>
    <t xml:space="preserve">DLG-12, DLG-14</t>
  </si>
  <si>
    <t xml:space="preserve">M-35</t>
  </si>
  <si>
    <t xml:space="preserve">Gửi thông báo in-app &amp; email (chạy nền)</t>
  </si>
  <si>
    <t xml:space="preserve">3.18.7</t>
  </si>
  <si>
    <t xml:space="preserve">• Gửi thông báo in-app + email theo đủ các mốc trong R3 5.4.2 (tạo yêu cầu, duyệt/từ chối/cần thông tin, giao việc, hold, hoàn thành, đóng, mở lại, hủy, cảnh báo SLA) và sự kiện tài khoản
• Mỗi role chỉ nhận sự kiện của mình; Employee được báo cả khi Officer tạo hộ
• Tôn trọng công tắc email trong COM-04 trừ các sự kiện quan trọng
• Mẫu email Anh/Việt</t>
  </si>
  <si>
    <t xml:space="preserve">3.18.7 (NSF)</t>
  </si>
  <si>
    <t xml:space="preserve">M-08, M-26</t>
  </si>
  <si>
    <t xml:space="preserve">3.6</t>
  </si>
  <si>
    <t xml:space="preserve">M-36</t>
  </si>
  <si>
    <t xml:space="preserve">Lịch sử công việc (Technician)</t>
  </si>
  <si>
    <t xml:space="preserve">3.9.3</t>
  </si>
  <si>
    <t xml:space="preserve">• TEC-04: nhật ký chỉ đọc các work order đã xong của chính mình, lọc theo thời gian (mặc định 30 ngày) và thiết bị
• Ô tổng: số việc hoàn thành, giờ công, số lần bị mở lại
• Mở dòng → TEC-03 ở chế độ chỉ đọc</t>
  </si>
  <si>
    <t xml:space="preserve">TEC-04</t>
  </si>
  <si>
    <t xml:space="preserve">M-37</t>
  </si>
  <si>
    <t xml:space="preserve">Officer tạo Case hộ Employee</t>
  </si>
  <si>
    <t xml:space="preserve">3.8.3</t>
  </si>
  <si>
    <t xml:space="preserve">• OFF-05: chọn Employee đang hoạt động làm người yêu cầu, ghi cách báo (điện thoại/trực tiếp), cùng các trường như EMP-02
• Officer đặt ưu tiên luôn; tick "Approve right away" để vào thẳng Approved / tab To assign
• Timeline ghi rõ ai nhập và nhận qua kênh nào; Employee vẫn được thông báo</t>
  </si>
  <si>
    <t xml:space="preserve">OFF-05</t>
  </si>
  <si>
    <t xml:space="preserve">BR-01</t>
  </si>
  <si>
    <t xml:space="preserve">M-23, M-26</t>
  </si>
  <si>
    <t xml:space="preserve">M-38</t>
  </si>
  <si>
    <t xml:space="preserve">Theo dõi Case &amp; hàng chờ xác nhận</t>
  </si>
  <si>
    <t xml:space="preserve">3.8.2</t>
  </si>
  <si>
    <t xml:space="preserve">• OFF-03: mọi case mọi trạng thái, tab trạng thái, lọc (KTV, tòa nhà, ưu tiên, ngày, tag), vạch đỏ khi quá hạn
• Menu dòng chỉ cho Officer (Open, Reassign, Add comment, Cancel); Manager dùng cùng trang ở chế độ chỉ xem (BR-12) — màn MGR-02 cũ đã gộp vào đây
• OFF-04: danh sách case Completed, xem song song báo cáo KTV và yêu cầu gốc, mở thẳng Verify/Reopen</t>
  </si>
  <si>
    <t xml:space="preserve">OFF-03, OFF-04</t>
  </si>
  <si>
    <t xml:space="preserve">BR-12</t>
  </si>
  <si>
    <t xml:space="preserve">M-39</t>
  </si>
  <si>
    <t xml:space="preserve">Tìm kiếm toàn cục &amp; bộ lọc nâng cao</t>
  </si>
  <si>
    <t xml:space="preserve">Tìm kiếm &amp; AI Assistant</t>
  </si>
  <si>
    <t xml:space="preserve">3.5.1</t>
  </si>
  <si>
    <t xml:space="preserve">• COM-06: tìm case / thiết bị / user, kết quả chia tab có số đếm, bộ lọc nâng cao, 20 dòng/trang
• Tab theo role: Cases (Employee, Officer, Technician, Manager), Assets (Officer, Manager, Admin), Users (chỉ Admin)
• Phạm vi giống Case Detail: Employee case của mình, KTV case được giao, Admin không có case
• Dưới 2 ký tự thì yêu cầu gõ thêm; không có kết quả thì gợi ý sửa chính tả/bỏ lọc</t>
  </si>
  <si>
    <t xml:space="preserve">COM-06</t>
  </si>
  <si>
    <t xml:space="preserve">M-25, M-20, M-15</t>
  </si>
  <si>
    <t xml:space="preserve">M-40</t>
  </si>
  <si>
    <t xml:space="preserve">Cài đặt SLA &amp; quy tắc</t>
  </si>
  <si>
    <t xml:space="preserve">3.13.2</t>
  </si>
  <si>
    <t xml:space="preserve">• ADM-07: mục tiêu phản hồi đầu / xử lý theo ưu tiên (Urgent 1h/4h, High 4h/24h, Normal 8h/72h, Low 24h/7 ngày — số mặc định)
• Các ngưỡng: thời gian claim &amp; số claim tối đa (BR-02), cửa sổ báo "Not fixed" (BR-03), độ dài phiên (BR-18), giới hạn AI (BR-15)
• Giờ làm việc (mặc định T2–T6 08:00–17:30) và ngày nghỉ
• Mục tiêu xử lý phải dài hơn mục tiêu phản hồi; áp dụng cho case mới ngay, case đang mở từ lần tính sau
• Mọi thay đổi ghi Audit Log kèm giá trị cũ/mới</t>
  </si>
  <si>
    <t xml:space="preserve">ADM-07</t>
  </si>
  <si>
    <t xml:space="preserve">BR-02, BR-03, BR-08, BR-15, BR-18</t>
  </si>
  <si>
    <t xml:space="preserve">M-41</t>
  </si>
  <si>
    <t xml:space="preserve">Đồng hồ SLA &amp; kiểm tra quá hạn (chạy nền)</t>
  </si>
  <si>
    <t xml:space="preserve">3.18.4</t>
  </si>
  <si>
    <t xml:space="preserve">• Theo dõi sla_target_at của mọi case đang mở theo ưu tiên, tính trong giờ làm việc
• Dừng đồng hồ khi On Hold
• Sắp tới hạn → báo Officer; quá hạn → gắn cờ overdue và báo cả Manager</t>
  </si>
  <si>
    <t xml:space="preserve">3.18.4 (NSF)</t>
  </si>
  <si>
    <t xml:space="preserve">BR-08</t>
  </si>
  <si>
    <t xml:space="preserve">M-40, M-35</t>
  </si>
  <si>
    <t xml:space="preserve">M-42</t>
  </si>
  <si>
    <t xml:space="preserve">Màn hình Audit Log</t>
  </si>
  <si>
    <t xml:space="preserve">3.13.3</t>
  </si>
  <si>
    <t xml:space="preserve">• ADM-08: tra cứu, lọc nhật ký (thời gian, user, role, hành động, đối tượng, kết quả)
• Ngăn chi tiết: giá trị cũ/mới; sự kiện AI chỉ hiện user, thời gian, phạm vi, đánh giá — không hiện nội dung (BR-11)
• Mã case chỉ là chữ, Admin không mở được case
• Xuất CSV tối đa 50.000 dòng/file; không sửa/xóa được</t>
  </si>
  <si>
    <t xml:space="preserve">ADM-08</t>
  </si>
  <si>
    <t xml:space="preserve">M-43</t>
  </si>
  <si>
    <t xml:space="preserve">Cài đặt cá nhân &amp; trung tâm thông báo</t>
  </si>
  <si>
    <t xml:space="preserve">3.4.2</t>
  </si>
  <si>
    <t xml:space="preserve">• COM-04: giao diện sáng/tối, ngôn ngữ, công tắc in-app/email cho từng loại thông báo (sự kiện quan trọng không tắt được)
• COM-05: tab Unread/All, mở là đánh dấu đã đọc, mỗi thông báo mở đúng bản ghi liên quan
• Lưu thông báo 90 ngày; mục không còn quyền xem thì mở ra ERR-01/ERR-02</t>
  </si>
  <si>
    <t xml:space="preserve">COM-04, COM-05</t>
  </si>
  <si>
    <t xml:space="preserve">M-35, M-10</t>
  </si>
  <si>
    <t xml:space="preserve">M-44</t>
  </si>
  <si>
    <t xml:space="preserve">Cập nhật gần thời gian thực</t>
  </si>
  <si>
    <t xml:space="preserve">3.4.2, 3.6.3, 3.8.1</t>
  </si>
  <si>
    <t xml:space="preserve">• Danh sách và chuông thông báo tự cập nhật trong khoảng 30 giây khi có sự kiện mới, không cần tải lại trang
• Dùng cho EMP-03, OFF-02 (thanh "N new items"), COM-05, số trên chuông</t>
  </si>
  <si>
    <t xml:space="preserve">COM-01, COM-05, EMP-03, OFF-02</t>
  </si>
  <si>
    <t xml:space="preserve">M-45</t>
  </si>
  <si>
    <t xml:space="preserve">Tạo/sửa thiết bị &amp; nhập hàng loạt</t>
  </si>
  <si>
    <t xml:space="preserve">Vòng đời thiết bị</t>
  </si>
  <si>
    <t xml:space="preserve">3.15.1</t>
  </si>
  <si>
    <t xml:space="preserve">• AST-04 (chỉ Admin): mã 3–20 ký tự duy nhất (gợi ý mã tiếp theo), tên 2–100, loại, nơi đặt (không chọn phòng đã vô hiệu), serial duy nhất, hạn bảo hành ≥ ngày mua, ảnh ≤ 5 MB, ghi chú ≤ 500
• Chuyển thiết bị đang có case mở: cho phép nhưng cảnh báo, case giữ tên nơi cũ trong Timeline
• AST-05: wizard 4 bước Upload → Check từng dòng → Confirm → Result; file ≤ 5 MB, ≤ 1.000 dòng; không ghi đè thiết bị có sẵn, trùng mã là lỗi
• Ghi Audit Log</t>
  </si>
  <si>
    <t xml:space="preserve">AST-04, AST-05</t>
  </si>
  <si>
    <t xml:space="preserve">BR-09, BR-16</t>
  </si>
  <si>
    <t xml:space="preserve">M-46</t>
  </si>
  <si>
    <t xml:space="preserve">Trạng thái &amp; thanh lý thiết bị</t>
  </si>
  <si>
    <t xml:space="preserve">3.15.2</t>
  </si>
  <si>
    <t xml:space="preserve">• DLG-18 (Officer): Active / Under repair / Out of service, chỉ mang tính thông tin, không chặn Employee báo sự cố
• DLG-17 (Admin): xác nhận bảo vệ dữ liệu khi thanh lý thiết bị, xóa/vô hiệu nơi hoặc danh mục — liệt kê case/kế hoạch đang chặn, bắt gõ lại mã
• Chặn thanh lý khi còn case mở (BR-10); có lịch sử thì chỉ thanh lý/vô hiệu, không xóa thật
• Ghi Audit Log</t>
  </si>
  <si>
    <t xml:space="preserve">DLG-17, DLG-18</t>
  </si>
  <si>
    <t xml:space="preserve">BR-10, BR-16</t>
  </si>
  <si>
    <t xml:space="preserve">M-20, M-19</t>
  </si>
  <si>
    <t xml:space="preserve">M-47</t>
  </si>
  <si>
    <t xml:space="preserve">Nhãn QR &amp; trang đích QR</t>
  </si>
  <si>
    <t xml:space="preserve">3.15.3</t>
  </si>
  <si>
    <t xml:space="preserve">• AST-06: in nhãn QR tối đa 100 thiết bị/lần (cỡ nhỏ/vừa hoặc tờ A4), xuất PDF hoặc in trình duyệt; tự bỏ thiết bị đã thanh lý
• AST-07: bắt buộc đăng nhập rồi chuyển hướng — Employee vào New Request điền sẵn nơi + thiết bị; Officer/Manager/Admin vào Asset Detail; KTV vào work order đang mở của thiết bị
• QR chỉ chứa địa chỉ web + mã thiết bị; mã lạ/thiết bị đã thanh lý/KTV không có việc thì giải thích rõ</t>
  </si>
  <si>
    <t xml:space="preserve">AST-06, AST-07</t>
  </si>
  <si>
    <t xml:space="preserve">M-20, M-23</t>
  </si>
  <si>
    <t xml:space="preserve">2.3</t>
  </si>
  <si>
    <t xml:space="preserve">M-48</t>
  </si>
  <si>
    <t xml:space="preserve">Kế hoạch bảo trì định kỳ</t>
  </si>
  <si>
    <t xml:space="preserve">Quản lý kế hoạch định kỳ</t>
  </si>
  <si>
    <t xml:space="preserve">3.16.1</t>
  </si>
  <si>
    <t xml:space="preserve">• PM-01: danh sách kế hoạch; PM-02 tạo/sửa (chỉ Officer): thiết bị (≥ 1, có "thêm tất cả thiết bị cùng loại trong tòa nhà"), tần suất, ngày bắt đầu/kết thúc, lead time (mặc định 3 ngày), ưu tiên, KTV mặc định, checklist 1–30 mục (3–200 ký tự)
• Xem trước 5 ngày tới hạn tiếp theo trước khi lưu
• PM-03: lịch sử work order đã sinh + 2 ô tuân thủ (tỉ lệ đúng hạn, tỉ lệ đạt trong 12 tháng); kết thúc kế hoạch là vĩnh viễn (nhân bản thay vì kích hoạt lại)
• Manager chỉ xem (BR-12); Admin không dùng module này</t>
  </si>
  <si>
    <t xml:space="preserve">PM-01, PM-02, PM-03</t>
  </si>
  <si>
    <t xml:space="preserve">BR-06, BR-12</t>
  </si>
  <si>
    <t xml:space="preserve">M-49</t>
  </si>
  <si>
    <t xml:space="preserve">Lịch định kỳ &amp; tạo work order thủ công</t>
  </si>
  <si>
    <t xml:space="preserve">3.16.2</t>
  </si>
  <si>
    <t xml:space="preserve">• PM-04: lịch tháng/tuần, sự kiện có màu + biểu tượng (sắp tới, sắp hạn, quá hạn, xong), bấm mở kế hoạch hoặc work order; lịch chỉ đọc
• DLG-21 Generate now: liệt kê thiết bị (thiết bị đã có work order mở của kế hoạch thì xám), tạo 1 work order/thiết bị, tag "Preventive (manual)", không làm lệch lịch tự động
• Không dùng được khi kế hoạch tạm dừng/đã kết thúc; ghi Audit Log</t>
  </si>
  <si>
    <t xml:space="preserve">PM-04, DLG-21</t>
  </si>
  <si>
    <t xml:space="preserve">BR-06, BR-16</t>
  </si>
  <si>
    <t xml:space="preserve">M-48, M-50</t>
  </si>
  <si>
    <t xml:space="preserve">M-50</t>
  </si>
  <si>
    <t xml:space="preserve">Tự sinh work order định kỳ &amp; nhắc hạn (chạy nền)</t>
  </si>
  <si>
    <t xml:space="preserve">3.18.5</t>
  </si>
  <si>
    <t xml:space="preserve">• Tới lead time trước ngày hạn (mặc định 3 ngày) thì tự tạo work order
• Bỏ qua bước Pending: bắt đầu ở Approved, hoặc Assigned nếu kế hoạch có KTV mặc định (BR-06)
• Không sinh trùng khi thiết bị đã có work order mở của cùng kế hoạch
• Nhắc Officer các kế hoạch sắp tới hạn / quá hạn</t>
  </si>
  <si>
    <t xml:space="preserve">3.18.5 (NSF)</t>
  </si>
  <si>
    <t xml:space="preserve">BR-06</t>
  </si>
  <si>
    <t xml:space="preserve">M-48, M-35</t>
  </si>
  <si>
    <t xml:space="preserve">4.2</t>
  </si>
  <si>
    <t xml:space="preserve">M-51</t>
  </si>
  <si>
    <t xml:space="preserve">Thực hiện kiểm tra định kỳ (Technician)</t>
  </si>
  <si>
    <t xml:space="preserve">3.9.4</t>
  </si>
  <si>
    <t xml:space="preserve">• TEC-05: trả lời Pass / Fail / N/A cho từng mục checklist; Fail bắt buộc ghi chú + ảnh
• Kết quả chung (Passed / Needs attention) tự tính; hoàn thành thì tạo Inspection Record và chuyển work order sang Completed chờ Officer xác nhận
• Checklist giữ đúng phiên bản kế hoạch lúc sinh work order</t>
  </si>
  <si>
    <t xml:space="preserve">TEC-05</t>
  </si>
  <si>
    <t xml:space="preserve">BR-06, BR-07, BR-17</t>
  </si>
  <si>
    <t xml:space="preserve">M-50, M-31</t>
  </si>
  <si>
    <t xml:space="preserve">4.3</t>
  </si>
  <si>
    <t xml:space="preserve">M-52</t>
  </si>
  <si>
    <t xml:space="preserve">Hồ sơ kiểm tra định kỳ</t>
  </si>
  <si>
    <t xml:space="preserve">3.16.3</t>
  </si>
  <si>
    <t xml:space="preserve">• PM-05: lọc theo ngày, thiết bị, tòa nhà, kế hoạch, KTV, kết quả
• PM-06: kết quả từng mục, mục Fail nổi bật kèm ghi chú + ảnh; liên kết work order gốc, kế hoạch, case sửa chữa được tạo từ mục Fail
• Chỉ đọc với mọi người, không sửa/xóa</t>
  </si>
  <si>
    <t xml:space="preserve">PM-05, PM-06</t>
  </si>
  <si>
    <t xml:space="preserve">M-53</t>
  </si>
  <si>
    <t xml:space="preserve">Mục Fail → tạo Case mới (chạy nền)</t>
  </si>
  <si>
    <t xml:space="preserve">3.18.6</t>
  </si>
  <si>
    <t xml:space="preserve">• KTV tick "Create a repair request" khi có mục Fail → tự tạo Case Pending liên kết với Inspection Record (BR-07)</t>
  </si>
  <si>
    <t xml:space="preserve">3.18.6 (NSF)</t>
  </si>
  <si>
    <t xml:space="preserve">BR-07</t>
  </si>
  <si>
    <t xml:space="preserve">M-51, M-23</t>
  </si>
  <si>
    <t xml:space="preserve">M-54</t>
  </si>
  <si>
    <t xml:space="preserve">Mobile: khung app, đăng nhập &amp; phiên</t>
  </si>
  <si>
    <t xml:space="preserve">Ứng dụng Mobile (Flutter)</t>
  </si>
  <si>
    <t xml:space="preserve">3.2, 3.3 (Mobile)</t>
  </si>
  <si>
    <t xml:space="preserve">Mobile</t>
  </si>
  <si>
    <t xml:space="preserve">• Khung app Flutter: điều hướng theo role, gọi cùng API backend, bố cục điện thoại
• Đăng nhập, quên mật khẩu, đổi mật khẩu lần đầu, hết phiên, tài khoản bị vô hiệu — cùng quy tắc bản Web
• Màn hình lỗi / mất kết nối</t>
  </si>
  <si>
    <t xml:space="preserve">AUTH-01 → AUTH-06, ERR-01 → ERR-04</t>
  </si>
  <si>
    <t xml:space="preserve">M-07, M-09</t>
  </si>
  <si>
    <t xml:space="preserve">7.3</t>
  </si>
  <si>
    <t xml:space="preserve">M-55</t>
  </si>
  <si>
    <t xml:space="preserve">Mobile: chức năng Employee</t>
  </si>
  <si>
    <t xml:space="preserve">3.6, 3.7 (Mobile)</t>
  </si>
  <si>
    <t xml:space="preserve">• Trang chủ Employee, tạo yêu cầu (chụp ảnh từ camera), yêu cầu của tôi, trả lời/sửa yêu cầu
• Chi tiết case, hủy, báo "Not fixed", đánh giá
• Quét QR thiết bị để mở New Request điền sẵn</t>
  </si>
  <si>
    <t xml:space="preserve">EMP-01 → EMP-04, COM-08, DLG-12/13/14, AST-07</t>
  </si>
  <si>
    <t xml:space="preserve">BR-03, BR-17</t>
  </si>
  <si>
    <t xml:space="preserve">M-54, M-24, M-34</t>
  </si>
  <si>
    <t xml:space="preserve">7.1</t>
  </si>
  <si>
    <t xml:space="preserve">M-56</t>
  </si>
  <si>
    <t xml:space="preserve">Mobile: chức năng Technician</t>
  </si>
  <si>
    <t xml:space="preserve">3.9 (Mobile)</t>
  </si>
  <si>
    <t xml:space="preserve">• Trang chủ KTV, work order của tôi, Accept/Reject, Start/Hold/Resume/Complete
• Nhập nguyên nhân, linh kiện, giờ công, chụp ảnh bằng chứng tại hiện trường
• Kiểm tra định kỳ (checklist Pass/Fail/N/A), lịch sử công việc</t>
  </si>
  <si>
    <t xml:space="preserve">TEC-01 → TEC-05, DLG-09/10/11</t>
  </si>
  <si>
    <t xml:space="preserve">M-54, M-31, M-51</t>
  </si>
  <si>
    <t xml:space="preserve">7.2</t>
  </si>
  <si>
    <t xml:space="preserve">M-57</t>
  </si>
  <si>
    <t xml:space="preserve">Trang chủ Facility Manager</t>
  </si>
  <si>
    <t xml:space="preserve">Dashboard Facility Manager</t>
  </si>
  <si>
    <t xml:space="preserve">3.10.1</t>
  </si>
  <si>
    <t xml:space="preserve">• MGR-01: ô KPI + 2 biểu đồ, mỗi ô có so sánh tuần trước bằng chữ (không chỉ dựa vào màu)
• "Needs attention": case quá hạn &gt; 24h, On Hold &gt; 3 ngày, kế hoạch định kỳ quá hạn, thiết bị ≥ 3 lần sửa trong 30 ngày — liên kết tới COM-08/AST-03/PM-03
• Chỉ đọc, không có thao tác duyệt/giao (BR-12); định nghĩa số liệu khớp ANA-01</t>
  </si>
  <si>
    <t xml:space="preserve">MGR-01</t>
  </si>
  <si>
    <t xml:space="preserve">M-58</t>
  </si>
  <si>
    <t xml:space="preserve">5.1</t>
  </si>
  <si>
    <t xml:space="preserve">Tổng quan KPI</t>
  </si>
  <si>
    <t xml:space="preserve">Phân tích &amp; báo cáo</t>
  </si>
  <si>
    <t xml:space="preserve">3.11.1</t>
  </si>
  <si>
    <t xml:space="preserve">• ANA-01: ô KPI (tổng case, thời gian phản hồi/xử lý trung bình, % đạt SLA, tỉ lệ mở lại; điểm đánh giá trung bình chỉ cho Manager)
• Biểu đồ tạo vs đóng, theo trạng thái, theo loại sự cố, thời gian xử lý so với đường SLA; mỗi biểu đồ có dạng bảng
• Định nghĩa: phản hồi đầu = từ lúc gửi tới quyết định đầu của Officer; xử lý = từ Approved tới Completed; đạt SLA = xong trong mục tiêu ADM-07
• Bản của Officer bỏ ô Rating và so sánh theo tòa nhà; lọc theo kỳ và tòa nhà</t>
  </si>
  <si>
    <t xml:space="preserve">ANA-01</t>
  </si>
  <si>
    <t xml:space="preserve">BR-08, BR-12</t>
  </si>
  <si>
    <t xml:space="preserve">M-41, M-33</t>
  </si>
  <si>
    <t xml:space="preserve">M-59</t>
  </si>
  <si>
    <t xml:space="preserve">Hiệu suất Technician</t>
  </si>
  <si>
    <t xml:space="preserve">• ANA-02 (chỉ Manager): xếp hạng KTV theo số việc xong, tỉ lệ đúng hạn, tỉ lệ bị mở lại, điểm đánh giá, tải việc hiện tại
• Ghi chú công bằng: kết quả dưới 5 case là chưa đáng tin
• KTV không bao giờ thấy số liệu của KTV khác</t>
  </si>
  <si>
    <t xml:space="preserve">ANA-02</t>
  </si>
  <si>
    <t xml:space="preserve">5.2</t>
  </si>
  <si>
    <t xml:space="preserve">M-60</t>
  </si>
  <si>
    <t xml:space="preserve">Xuất báo cáo</t>
  </si>
  <si>
    <t xml:space="preserve">3.11.2</t>
  </si>
  <si>
    <t xml:space="preserve">• ANA-04: Officer xuất Case summary, Asset failure, Preventive compliance; Manager thêm Technician performance và Inspection records
• Xem trước 10 dòng đầu; xuất PDF hoặc Excel, tối đa 20.000 dòng/file; file tải lại được trong 7 ngày
• Báo cáo chỉ chứa dữ liệu role đó vốn xem được; mọi lần xuất ghi Audit Log</t>
  </si>
  <si>
    <t xml:space="preserve">ANA-04</t>
  </si>
  <si>
    <t xml:space="preserve">M-58, M-59</t>
  </si>
  <si>
    <t xml:space="preserve">M-61</t>
  </si>
  <si>
    <t xml:space="preserve">Xu hướng hỏng &amp; thiết bị hay hỏng</t>
  </si>
  <si>
    <t xml:space="preserve">• ANA-03: top 10 thiết bị theo số case, xu hướng theo loại sự cố
• Gắn cờ thiết bị ≥ 3 case trong 30 ngày + gợi ý "Consider a preventive plan" — với Officer mở thẳng PM-02 điền sẵn thiết bị
• Chỉ hỗ trợ ra quyết định, hệ thống không tự sửa/thay/quyết định</t>
  </si>
  <si>
    <t xml:space="preserve">ANA-03</t>
  </si>
  <si>
    <t xml:space="preserve">M-58, M-48</t>
  </si>
  <si>
    <t xml:space="preserve">5.3</t>
  </si>
  <si>
    <t xml:space="preserve">M-62</t>
  </si>
  <si>
    <t xml:space="preserve">Tạo AI prediction (chạy nền)</t>
  </si>
  <si>
    <t xml:space="preserve">3.18.1</t>
  </si>
  <si>
    <t xml:space="preserve">• Nhận câu hỏi, gắn ngữ cảnh đã lọc theo đúng phạm vi RBAC của role người hỏi
• Gọi Replicate tạo prediction (bất đồng bộ), trả về prediction id ngay
• Ghi Audit Log lúc tạo yêu cầu</t>
  </si>
  <si>
    <t xml:space="preserve">3.18.1 (NSF)</t>
  </si>
  <si>
    <t xml:space="preserve">BR-15, BR-16</t>
  </si>
  <si>
    <t xml:space="preserve">M-06, M-17</t>
  </si>
  <si>
    <t xml:space="preserve">6.1</t>
  </si>
  <si>
    <t xml:space="preserve">M-63</t>
  </si>
  <si>
    <t xml:space="preserve">Nhận kết quả AI qua poll/webhook (chạy nền)</t>
  </si>
  <si>
    <t xml:space="preserve">3.18.2</t>
  </si>
  <si>
    <t xml:space="preserve">• Nhận kết quả qua webhook Replicate, hoặc client hỏi trạng thái mỗi 2 giây
• Lưu câu trả lời vào AIConversation (prediction_id, trạng thái, đánh giá)
• Ghi Audit Log lúc có kết quả</t>
  </si>
  <si>
    <t xml:space="preserve">3.18.2 (NSF)</t>
  </si>
  <si>
    <t xml:space="preserve">M-64</t>
  </si>
  <si>
    <t xml:space="preserve">Cửa sổ AI Assistant</t>
  </si>
  <si>
    <t xml:space="preserve">3.5.2</t>
  </si>
  <si>
    <t xml:space="preserve">• COM-07: cửa sổ chat mở từ nút AI nổi, câu hỏi gợi ý theo role
• Hiện trạng thái đang nghĩ; sau 60 giây báo "taking longer than usual"; sau 2 phút hết giờ + nút Retry
• Đánh giá thích/không thích (không thích thì ghi lý do ngắn)
• Không có nút duyệt/giao/đóng trong chat — chỉ tư vấn</t>
  </si>
  <si>
    <t xml:space="preserve">COM-07</t>
  </si>
  <si>
    <t xml:space="preserve">BR-15</t>
  </si>
  <si>
    <t xml:space="preserve">M-63, M-10</t>
  </si>
  <si>
    <t xml:space="preserve">M-65</t>
  </si>
  <si>
    <t xml:space="preserve">Thiết kế prompt &amp; ngữ cảnh theo role</t>
  </si>
  <si>
    <t xml:space="preserve">AI-assisted support</t>
  </si>
  <si>
    <t xml:space="preserve">3.5.2, 4b AI Access Rules</t>
  </si>
  <si>
    <t xml:space="preserve">• Prompt hệ thống + câu hỏi gợi ý cho từng role (Employee, Technician, Officer, Manager, Admin) theo bảng AI Access Rules
• Mẹo xử lý sự cố phổ biến / FAQ cách dùng app làm nguồn kiến thức
• Truy vấn dữ liệu ngữ cảnh dùng cùng lớp lọc RBAC với backend</t>
  </si>
  <si>
    <t xml:space="preserve">BR-11, BR-15</t>
  </si>
  <si>
    <t xml:space="preserve">6.2</t>
  </si>
  <si>
    <t xml:space="preserve">M-66</t>
  </si>
  <si>
    <t xml:space="preserve">Giới hạn &amp; bảo vệ AI</t>
  </si>
  <si>
    <t xml:space="preserve">• Giới hạn 20 câu hỏi/giờ/người, 500 ký tự/câu (BR-15, chỉnh ở ADM-07)
• Từ chối lịch sự câu hỏi ngoài phạm vi (ví dụ case của người khác)
• API AI lỗi/hết hạn mức: báo lỗi rõ ràng, luồng Case không bị ảnh hưởng</t>
  </si>
  <si>
    <t xml:space="preserve">M-62, M-40</t>
  </si>
  <si>
    <t xml:space="preserve">M-67</t>
  </si>
  <si>
    <t xml:space="preserve">Mobile: chức năng Facility Officer</t>
  </si>
  <si>
    <t xml:space="preserve">3.7, 3.8 (Mobile)</t>
  </si>
  <si>
    <t xml:space="preserve">• Trang chủ Officer, hàng chờ, claim/release
• Duyệt / từ chối / cần thêm thông tin, giao / giao lại KTV, xác nhận đóng / mở lại, hủy
• Theo dõi case, hàng chờ xác nhận, tạo case hộ Employee</t>
  </si>
  <si>
    <t xml:space="preserve">OFF-01 → OFF-05, COM-08, DLG-01 → DLG-08, DLG-12, DLG-22</t>
  </si>
  <si>
    <t xml:space="preserve">BR-02, BR-19, BR-20</t>
  </si>
  <si>
    <t xml:space="preserve">M-54, M-38, M-37</t>
  </si>
  <si>
    <t xml:space="preserve">M-68</t>
  </si>
  <si>
    <t xml:space="preserve">Mobile: thông báo đẩy (push)</t>
  </si>
  <si>
    <t xml:space="preserve">3.18.7 (Mobile)</t>
  </si>
  <si>
    <t xml:space="preserve">Mobile + Backend</t>
  </si>
  <si>
    <t xml:space="preserve">• Đăng ký thiết bị nhận push, gửi push theo cùng các mốc thông báo của hệ thống
• Bấm push mở đúng màn hình liên quan; tôn trọng cài đặt thông báo của người dùng</t>
  </si>
  <si>
    <t xml:space="preserve">M-54, M-35</t>
  </si>
  <si>
    <t xml:space="preserve">M-69</t>
  </si>
  <si>
    <t xml:space="preserve">Mobile: chức năng dùng chung</t>
  </si>
  <si>
    <t xml:space="preserve">3.4, 3.5 (Mobile)</t>
  </si>
  <si>
    <t xml:space="preserve">• Hồ sơ cá nhân, đổi mật khẩu, cài đặt, trung tâm thông báo
• Tìm kiếm theo role, cửa sổ AI Assistant, xem ảnh</t>
  </si>
  <si>
    <t xml:space="preserve">COM-02 → COM-07, DLG-20</t>
  </si>
  <si>
    <t xml:space="preserve">M-54, M-43, M-64</t>
  </si>
  <si>
    <t xml:space="preserve">M-70</t>
  </si>
  <si>
    <t xml:space="preserve">Mobile: chức năng Facility Manager</t>
  </si>
  <si>
    <t xml:space="preserve">3.10, 3.11 (Mobile)</t>
  </si>
  <si>
    <t xml:space="preserve">• Trang chủ Manager (KPI, needs attention), phân tích KPI, hiệu suất KTV, xu hướng hỏng
• Xem case (chỉ đọc), thiết bị, kế hoạch định kỳ (chỉ xem)</t>
  </si>
  <si>
    <t xml:space="preserve">MGR-01, ANA-01 → ANA-03, OFF-03 (chỉ xem)</t>
  </si>
  <si>
    <t xml:space="preserve">M-54, M-57, M-61</t>
  </si>
  <si>
    <t xml:space="preserve">M-71</t>
  </si>
  <si>
    <t xml:space="preserve">Mobile: chức năng Administrator</t>
  </si>
  <si>
    <t xml:space="preserve">3.12, 3.13 (Mobile)</t>
  </si>
  <si>
    <t xml:space="preserve">• Trang chủ Admin, danh sách/chi tiết/tạo/sửa user, thao tác tài khoản
• Danh mục bảo trì, cài đặt SLA, xem Audit Log, cây cơ sở vật chất và thiết bị
• Không có nội dung case (BR-11)</t>
  </si>
  <si>
    <t xml:space="preserve">ADM-01 → ADM-08, AST-01 → AST-05</t>
  </si>
  <si>
    <t xml:space="preserve">M-54, M-16, M-42</t>
  </si>
  <si>
    <t xml:space="preserve">Nguồn man-day: Report 2, mục 1.1 Scope &amp; Estimation (tổng 100 man-day, Leader chốt 28/09/2026).</t>
  </si>
  <si>
    <t xml:space="preserve">ĐỐI CHIẾU MAN-DAY VỚI WBS REPORT 2</t>
  </si>
  <si>
    <t xml:space="preserve">Cột "Man-day R2" nhập tay theo Report 2 mục 1.1 (chữ xanh). Các cột còn lại tự tính từ Product Backlog; Chênh lệch = 0 nghĩa là khớp.</t>
  </si>
  <si>
    <t xml:space="preserve">Mục WBS</t>
  </si>
  <si>
    <t xml:space="preserve">Hạng mục (Report 2)</t>
  </si>
  <si>
    <t xml:space="preserve">Man-day R2</t>
  </si>
  <si>
    <t xml:space="preserve">Man-day Product Backlog</t>
  </si>
  <si>
    <t xml:space="preserve">Chênh lệch</t>
  </si>
  <si>
    <t xml:space="preserve">1</t>
  </si>
  <si>
    <t xml:space="preserve">Authentication &amp; User Management</t>
  </si>
  <si>
    <t xml:space="preserve">Login / Registration (Web + Mobile)</t>
  </si>
  <si>
    <t xml:space="preserve">Role-Based Access Control (5 roles)</t>
  </si>
  <si>
    <t xml:space="preserve">User profile management</t>
  </si>
  <si>
    <t xml:space="preserve">2</t>
  </si>
  <si>
    <t xml:space="preserve">Asset &amp; Facility Management</t>
  </si>
  <si>
    <t xml:space="preserve">Building / Floor / Room CRUD</t>
  </si>
  <si>
    <t xml:space="preserve">Asset CRUD + maintenance history</t>
  </si>
  <si>
    <t xml:space="preserve">Assign asset to a Maintenance Case</t>
  </si>
  <si>
    <t xml:space="preserve">3</t>
  </si>
  <si>
    <t xml:space="preserve">Maintenance Case Management (core)</t>
  </si>
  <si>
    <t xml:space="preserve">Case creation with photo upload (Employee)</t>
  </si>
  <si>
    <t xml:space="preserve">Approval workflow: Approve / Reject / Need Info</t>
  </si>
  <si>
    <t xml:space="preserve">Work Order assignment to Technician</t>
  </si>
  <si>
    <t xml:space="preserve">Technician accept/update + evidence upload</t>
  </si>
  <si>
    <t xml:space="preserve">Verify / Close / Reopen workflow</t>
  </si>
  <si>
    <t xml:space="preserve">Notification at case-lifecycle milestones</t>
  </si>
  <si>
    <t xml:space="preserve">4</t>
  </si>
  <si>
    <t xml:space="preserve">Preventive Maintenance</t>
  </si>
  <si>
    <t xml:space="preserve">Recurring maintenance schedule setup</t>
  </si>
  <si>
    <t xml:space="preserve">Due-date reminders for Officers</t>
  </si>
  <si>
    <t xml:space="preserve">Preventive maintenance history log</t>
  </si>
  <si>
    <t xml:space="preserve">5</t>
  </si>
  <si>
    <t xml:space="preserve">Analytics &amp; Decision Support</t>
  </si>
  <si>
    <t xml:space="preserve">KPI dashboard (case volume, resolution time)</t>
  </si>
  <si>
    <t xml:space="preserve">Technician performance report</t>
  </si>
  <si>
    <t xml:space="preserve">Recurring asset-failure report</t>
  </si>
  <si>
    <t xml:space="preserve">6</t>
  </si>
  <si>
    <t xml:space="preserve">AI-assisted Support</t>
  </si>
  <si>
    <t xml:space="preserve">Third-party AI API integration</t>
  </si>
  <si>
    <t xml:space="preserve">FAQ / troubleshooting prompt design</t>
  </si>
  <si>
    <t xml:space="preserve">7</t>
  </si>
  <si>
    <t xml:space="preserve">Mobile Application (Flutter)</t>
  </si>
  <si>
    <t xml:space="preserve">Employee &amp; Officer screens: submit, track, approve, assign, verify</t>
  </si>
  <si>
    <t xml:space="preserve">Technician, Manager &amp; Admin screens: work orders, dashboards, administration</t>
  </si>
  <si>
    <t xml:space="preserve">Mobile auth &amp; push notifications</t>
  </si>
  <si>
    <t xml:space="preserve">TỔNG</t>
  </si>
</sst>
</file>

<file path=xl/styles.xml><?xml version="1.0" encoding="utf-8"?>
<styleSheet xmlns="http://schemas.openxmlformats.org/spreadsheetml/2006/main">
  <numFmts count="5">
    <numFmt numFmtId="164" formatCode="General"/>
    <numFmt numFmtId="165" formatCode="dd/mm/yyyy"/>
    <numFmt numFmtId="166" formatCode="0.00"/>
    <numFmt numFmtId="167" formatCode="0%"/>
    <numFmt numFmtId="168" formatCode="0.00;\-0.00;0"/>
  </numFmts>
  <fonts count="15">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595959"/>
      <name val="Arial"/>
      <family val="0"/>
      <charset val="1"/>
    </font>
    <font>
      <b val="true"/>
      <sz val="12"/>
      <color rgb="FF1F3A5F"/>
      <name val="Arial"/>
      <family val="0"/>
      <charset val="1"/>
    </font>
    <font>
      <b val="true"/>
      <sz val="10"/>
      <color rgb="FFFFFFFF"/>
      <name val="Arial"/>
      <family val="0"/>
      <charset val="1"/>
    </font>
    <font>
      <b val="true"/>
      <sz val="10"/>
      <name val="Arial"/>
      <family val="0"/>
      <charset val="1"/>
    </font>
    <font>
      <sz val="10"/>
      <name val="Arial"/>
      <family val="0"/>
      <charset val="1"/>
    </font>
    <font>
      <i val="true"/>
      <sz val="10"/>
      <color rgb="FF7F6000"/>
      <name val="Arial"/>
      <family val="0"/>
      <charset val="1"/>
    </font>
    <font>
      <b val="true"/>
      <sz val="14"/>
      <color rgb="FF1F3A5F"/>
      <name val="Arial"/>
      <family val="0"/>
      <charset val="1"/>
    </font>
    <font>
      <i val="true"/>
      <sz val="9"/>
      <color rgb="FF595959"/>
      <name val="Arial"/>
      <family val="0"/>
      <charset val="1"/>
    </font>
    <font>
      <sz val="10"/>
      <color rgb="FF0000FF"/>
      <name val="Arial"/>
      <family val="0"/>
      <charset val="1"/>
    </font>
    <font>
      <sz val="10"/>
      <name val="Arial"/>
      <family val="2"/>
    </font>
  </fonts>
  <fills count="5">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CE6F1"/>
        <bgColor rgb="FFDDEBF7"/>
      </patternFill>
    </fill>
  </fills>
  <borders count="2">
    <border diagonalUp="false" diagonalDown="false">
      <left/>
      <right/>
      <top/>
      <bottom/>
      <diagonal/>
    </border>
    <border diagonalUp="false" diagonalDown="false">
      <left style="thin">
        <color rgb="FFB7C3D0"/>
      </left>
      <right style="thin">
        <color rgb="FFB7C3D0"/>
      </right>
      <top style="thin">
        <color rgb="FFB7C3D0"/>
      </top>
      <bottom style="thin">
        <color rgb="FFB7C3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8" fontId="8" fillId="4" borderId="1" xfId="0" applyFont="true" applyBorder="true" applyAlignment="true" applyProtection="false">
      <alignment horizontal="center" vertical="top" textRotation="0" wrapText="true" indent="0" shrinkToFit="false"/>
      <protection locked="true" hidden="false"/>
    </xf>
    <xf numFmtId="168" fontId="13" fillId="0" borderId="1" xfId="0" applyFont="true" applyBorder="true" applyAlignment="true" applyProtection="false">
      <alignment horizontal="center" vertical="top" textRotation="0" wrapText="tru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2F6"/>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bgColor rgb="FFFFE699"/>
        </patternFill>
      </fill>
    </dxf>
    <dxf>
      <fill>
        <patternFill>
          <bgColor rgb="FFBDD7EE"/>
        </patternFill>
      </fill>
    </dxf>
    <dxf>
      <fill>
        <patternFill>
          <bgColor rgb="FFC6EFCE"/>
        </patternFill>
      </fill>
    </dxf>
    <dxf>
      <fill>
        <patternFill>
          <bgColor rgb="FFF8CBAD"/>
        </patternFill>
      </fill>
    </dxf>
    <dxf>
      <fill>
        <patternFill>
          <bgColor rgb="FFE2EFDA"/>
        </patternFill>
      </fill>
    </dxf>
    <dxf>
      <fill>
        <patternFill>
          <bgColor rgb="FFDDEBF7"/>
        </patternFill>
      </fill>
    </dxf>
    <dxf>
      <fill>
        <patternFill>
          <bgColor rgb="FFFCE4D6"/>
        </patternFill>
      </fill>
    </dxf>
    <dxf>
      <fill>
        <patternFill>
          <bgColor rgb="FFEDE2F6"/>
        </patternFill>
      </fill>
    </dxf>
    <dxf>
      <fill>
        <patternFill>
          <bgColor rgb="FFF2F2F2"/>
        </patternFill>
      </fill>
    </dxf>
  </dxfs>
  <colors>
    <indexedColors>
      <rgbColor rgb="FF000000"/>
      <rgbColor rgb="FFFFFFFF"/>
      <rgbColor rgb="FFFF0000"/>
      <rgbColor rgb="FF00FF00"/>
      <rgbColor rgb="FF0000FF"/>
      <rgbColor rgb="FFF2F2F2"/>
      <rgbColor rgb="FFFF00FF"/>
      <rgbColor rgb="FF00FFFF"/>
      <rgbColor rgb="FF800000"/>
      <rgbColor rgb="FF008000"/>
      <rgbColor rgb="FF000080"/>
      <rgbColor rgb="FF7F6000"/>
      <rgbColor rgb="FF800080"/>
      <rgbColor rgb="FF008080"/>
      <rgbColor rgb="FFB7C3D0"/>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2EFDA"/>
      <rgbColor rgb="FFC6EFCE"/>
      <rgbColor rgb="FFFFE699"/>
      <rgbColor rgb="FFDCE6F1"/>
      <rgbColor rgb="FFFCE4D6"/>
      <rgbColor rgb="FFEDE2F6"/>
      <rgbColor rgb="FFF8CBAD"/>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44"/>
    <col collapsed="false" customWidth="true" hidden="false" outlineLevel="0" max="4" min="4" style="0" width="4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row>
    <row r="6" customFormat="false" ht="42" hidden="false" customHeight="true" outlineLevel="0" collapsed="false">
      <c r="A6" s="5" t="s">
        <v>6</v>
      </c>
      <c r="B6" s="6" t="s">
        <v>7</v>
      </c>
      <c r="C6" s="7"/>
    </row>
    <row r="7" customFormat="false" ht="27.75" hidden="false" customHeight="true" outlineLevel="0" collapsed="false">
      <c r="A7" s="5" t="s">
        <v>8</v>
      </c>
      <c r="B7" s="6" t="s">
        <v>9</v>
      </c>
      <c r="C7" s="7"/>
    </row>
    <row r="8" customFormat="false" ht="27.75" hidden="false" customHeight="true" outlineLevel="0" collapsed="false">
      <c r="A8" s="5" t="s">
        <v>10</v>
      </c>
      <c r="B8" s="6" t="s">
        <v>11</v>
      </c>
      <c r="C8" s="7"/>
    </row>
    <row r="9" customFormat="false" ht="15" hidden="false" customHeight="false" outlineLevel="0" collapsed="false">
      <c r="A9" s="8" t="s">
        <v>12</v>
      </c>
    </row>
    <row r="11" customFormat="false" ht="15" hidden="false" customHeight="false" outlineLevel="0" collapsed="false">
      <c r="A11" s="3" t="s">
        <v>13</v>
      </c>
    </row>
    <row r="12" customFormat="false" ht="15" hidden="false" customHeight="false" outlineLevel="0" collapsed="false">
      <c r="A12" s="4" t="s">
        <v>14</v>
      </c>
      <c r="B12" s="4" t="s">
        <v>15</v>
      </c>
      <c r="C12" s="4" t="s">
        <v>16</v>
      </c>
      <c r="D12" s="4" t="s">
        <v>17</v>
      </c>
    </row>
    <row r="13" customFormat="false" ht="27.75" hidden="false" customHeight="true" outlineLevel="0" collapsed="false">
      <c r="A13" s="5" t="s">
        <v>18</v>
      </c>
      <c r="B13" s="6" t="s">
        <v>19</v>
      </c>
      <c r="C13" s="6" t="s">
        <v>20</v>
      </c>
      <c r="D13" s="6" t="s">
        <v>21</v>
      </c>
    </row>
    <row r="14" customFormat="false" ht="27.75" hidden="false" customHeight="true" outlineLevel="0" collapsed="false">
      <c r="A14" s="5" t="s">
        <v>22</v>
      </c>
      <c r="B14" s="6" t="s">
        <v>23</v>
      </c>
      <c r="C14" s="6" t="s">
        <v>24</v>
      </c>
      <c r="D14" s="6" t="s">
        <v>25</v>
      </c>
    </row>
    <row r="15" customFormat="false" ht="27.75" hidden="false" customHeight="true" outlineLevel="0" collapsed="false">
      <c r="A15" s="5" t="s">
        <v>26</v>
      </c>
      <c r="B15" s="6" t="s">
        <v>27</v>
      </c>
      <c r="C15" s="6" t="s">
        <v>28</v>
      </c>
      <c r="D15" s="6" t="s">
        <v>29</v>
      </c>
    </row>
    <row r="16" customFormat="false" ht="27.75" hidden="false" customHeight="true" outlineLevel="0" collapsed="false">
      <c r="A16" s="5" t="s">
        <v>30</v>
      </c>
      <c r="B16" s="6" t="s">
        <v>31</v>
      </c>
      <c r="C16" s="6" t="s">
        <v>32</v>
      </c>
      <c r="D16" s="6" t="s">
        <v>33</v>
      </c>
    </row>
    <row r="17" customFormat="false" ht="27.75" hidden="false" customHeight="true" outlineLevel="0" collapsed="false">
      <c r="A17" s="5" t="s">
        <v>34</v>
      </c>
      <c r="B17" s="6" t="s">
        <v>35</v>
      </c>
      <c r="C17" s="6" t="s">
        <v>36</v>
      </c>
      <c r="D17" s="6" t="s">
        <v>37</v>
      </c>
    </row>
    <row r="19" customFormat="false" ht="15" hidden="false" customHeight="false" outlineLevel="0" collapsed="false">
      <c r="A19" s="3" t="s">
        <v>38</v>
      </c>
    </row>
    <row r="20" customFormat="false" ht="15" hidden="false" customHeight="false" outlineLevel="0" collapsed="false">
      <c r="A20" s="4" t="s">
        <v>39</v>
      </c>
      <c r="B20" s="4" t="s">
        <v>40</v>
      </c>
      <c r="C20" s="4" t="s">
        <v>41</v>
      </c>
    </row>
    <row r="21" customFormat="false" ht="27.75" hidden="false" customHeight="true" outlineLevel="0" collapsed="false">
      <c r="A21" s="5" t="s">
        <v>42</v>
      </c>
      <c r="B21" s="6" t="s">
        <v>43</v>
      </c>
      <c r="C21" s="6" t="s">
        <v>44</v>
      </c>
    </row>
    <row r="22" customFormat="false" ht="18" hidden="false" customHeight="true" outlineLevel="0" collapsed="false">
      <c r="A22" s="5" t="s">
        <v>45</v>
      </c>
      <c r="B22" s="6" t="s">
        <v>46</v>
      </c>
      <c r="C22" s="6" t="s">
        <v>47</v>
      </c>
    </row>
    <row r="23" customFormat="false" ht="27.75" hidden="false" customHeight="true" outlineLevel="0" collapsed="false">
      <c r="A23" s="5" t="s">
        <v>48</v>
      </c>
      <c r="B23" s="6" t="s">
        <v>49</v>
      </c>
      <c r="C23" s="6" t="s">
        <v>50</v>
      </c>
    </row>
    <row r="25" customFormat="false" ht="15" hidden="false" customHeight="false" outlineLevel="0" collapsed="false">
      <c r="A25" s="3" t="s">
        <v>51</v>
      </c>
    </row>
    <row r="26" customFormat="false" ht="15" hidden="false" customHeight="true" outlineLevel="0" collapsed="false">
      <c r="A26" s="9" t="s">
        <v>52</v>
      </c>
      <c r="B26" s="10" t="s">
        <v>53</v>
      </c>
      <c r="C26" s="10"/>
      <c r="D26" s="10"/>
    </row>
    <row r="27" customFormat="false" ht="15" hidden="false" customHeight="true" outlineLevel="0" collapsed="false">
      <c r="A27" s="9" t="s">
        <v>54</v>
      </c>
      <c r="B27" s="10" t="s">
        <v>55</v>
      </c>
      <c r="C27" s="10"/>
      <c r="D27" s="10"/>
    </row>
    <row r="28" customFormat="false" ht="15" hidden="false" customHeight="true" outlineLevel="0" collapsed="false">
      <c r="A28" s="9" t="s">
        <v>56</v>
      </c>
      <c r="B28" s="10" t="s">
        <v>57</v>
      </c>
      <c r="C28" s="10"/>
      <c r="D28" s="10"/>
    </row>
    <row r="29" customFormat="false" ht="15" hidden="false" customHeight="true" outlineLevel="0" collapsed="false">
      <c r="A29" s="9" t="s">
        <v>58</v>
      </c>
      <c r="B29" s="10" t="s">
        <v>59</v>
      </c>
      <c r="C29" s="10"/>
      <c r="D29" s="10"/>
    </row>
    <row r="30" customFormat="false" ht="15" hidden="false" customHeight="true" outlineLevel="0" collapsed="false">
      <c r="A30" s="9" t="s">
        <v>60</v>
      </c>
      <c r="B30" s="10" t="s">
        <v>61</v>
      </c>
      <c r="C30" s="10"/>
      <c r="D30" s="10"/>
    </row>
    <row r="31" customFormat="false" ht="15" hidden="false" customHeight="true" outlineLevel="0" collapsed="false">
      <c r="A31" s="9" t="s">
        <v>62</v>
      </c>
      <c r="B31" s="10" t="s">
        <v>63</v>
      </c>
      <c r="C31" s="10"/>
      <c r="D31" s="10"/>
    </row>
    <row r="33" customFormat="false" ht="15" hidden="false" customHeight="false" outlineLevel="0" collapsed="false">
      <c r="A33" s="3" t="s">
        <v>64</v>
      </c>
    </row>
    <row r="34" customFormat="false" ht="15" hidden="false" customHeight="false" outlineLevel="0" collapsed="false">
      <c r="A34" s="4" t="s">
        <v>65</v>
      </c>
      <c r="B34" s="4" t="s">
        <v>66</v>
      </c>
      <c r="C34" s="4" t="s">
        <v>67</v>
      </c>
    </row>
    <row r="35" customFormat="false" ht="18" hidden="false" customHeight="true" outlineLevel="0" collapsed="false">
      <c r="A35" s="5" t="s">
        <v>68</v>
      </c>
      <c r="B35" s="6" t="s">
        <v>69</v>
      </c>
      <c r="C35" s="6" t="s">
        <v>70</v>
      </c>
    </row>
    <row r="36" customFormat="false" ht="18" hidden="false" customHeight="true" outlineLevel="0" collapsed="false">
      <c r="A36" s="5" t="s">
        <v>71</v>
      </c>
      <c r="B36" s="6" t="s">
        <v>72</v>
      </c>
      <c r="C36" s="6" t="s">
        <v>73</v>
      </c>
    </row>
    <row r="37" customFormat="false" ht="18" hidden="false" customHeight="true" outlineLevel="0" collapsed="false">
      <c r="A37" s="5" t="s">
        <v>74</v>
      </c>
      <c r="B37" s="6" t="s">
        <v>75</v>
      </c>
      <c r="C37" s="6" t="s">
        <v>76</v>
      </c>
    </row>
    <row r="38" customFormat="false" ht="18" hidden="false" customHeight="true" outlineLevel="0" collapsed="false">
      <c r="A38" s="5" t="s">
        <v>77</v>
      </c>
      <c r="B38" s="6" t="s">
        <v>78</v>
      </c>
      <c r="C38" s="6" t="s">
        <v>79</v>
      </c>
    </row>
    <row r="39" customFormat="false" ht="27.75" hidden="false" customHeight="true" outlineLevel="0" collapsed="false">
      <c r="A39" s="5" t="s">
        <v>80</v>
      </c>
      <c r="B39" s="6" t="s">
        <v>81</v>
      </c>
      <c r="C39" s="6" t="s">
        <v>82</v>
      </c>
    </row>
    <row r="41" customFormat="false" ht="15" hidden="false" customHeight="false" outlineLevel="0" collapsed="false">
      <c r="A41" s="3" t="s">
        <v>83</v>
      </c>
    </row>
    <row r="42" customFormat="false" ht="31.5" hidden="false" customHeight="true" outlineLevel="0" collapsed="false">
      <c r="A42" s="11" t="s">
        <v>84</v>
      </c>
      <c r="B42" s="10" t="s">
        <v>85</v>
      </c>
      <c r="C42" s="10"/>
      <c r="D42" s="10"/>
    </row>
    <row r="43" customFormat="false" ht="31.5" hidden="false" customHeight="true" outlineLevel="0" collapsed="false">
      <c r="A43" s="11" t="s">
        <v>84</v>
      </c>
      <c r="B43" s="10" t="s">
        <v>86</v>
      </c>
      <c r="C43" s="10"/>
      <c r="D43" s="10"/>
    </row>
    <row r="44" customFormat="false" ht="18" hidden="false" customHeight="true" outlineLevel="0" collapsed="false">
      <c r="A44" s="11" t="s">
        <v>84</v>
      </c>
      <c r="B44" s="10" t="s">
        <v>87</v>
      </c>
      <c r="C44" s="10"/>
      <c r="D44" s="10"/>
    </row>
    <row r="45" customFormat="false" ht="31.5" hidden="false" customHeight="true" outlineLevel="0" collapsed="false">
      <c r="A45" s="11" t="s">
        <v>84</v>
      </c>
      <c r="B45" s="10" t="s">
        <v>88</v>
      </c>
      <c r="C45" s="10"/>
      <c r="D45" s="10"/>
    </row>
    <row r="46" customFormat="false" ht="18" hidden="false" customHeight="true" outlineLevel="0" collapsed="false">
      <c r="A46" s="11" t="s">
        <v>84</v>
      </c>
      <c r="B46" s="10" t="s">
        <v>89</v>
      </c>
      <c r="C46" s="10"/>
      <c r="D46" s="10"/>
    </row>
    <row r="47" customFormat="false" ht="18" hidden="false" customHeight="true" outlineLevel="0" collapsed="false">
      <c r="A47" s="11" t="s">
        <v>84</v>
      </c>
      <c r="B47" s="10" t="s">
        <v>90</v>
      </c>
      <c r="C47" s="10"/>
      <c r="D47" s="10"/>
    </row>
    <row r="49" customFormat="false" ht="15" hidden="false" customHeight="false" outlineLevel="0" collapsed="false">
      <c r="A49" s="3" t="s">
        <v>91</v>
      </c>
    </row>
    <row r="50" customFormat="false" ht="15" hidden="false" customHeight="true" outlineLevel="0" collapsed="false">
      <c r="A50" s="11" t="s">
        <v>84</v>
      </c>
      <c r="B50" s="10" t="s">
        <v>92</v>
      </c>
      <c r="C50" s="10"/>
      <c r="D50" s="10"/>
    </row>
    <row r="51" customFormat="false" ht="15" hidden="false" customHeight="true" outlineLevel="0" collapsed="false">
      <c r="A51" s="11" t="s">
        <v>84</v>
      </c>
      <c r="B51" s="10" t="s">
        <v>93</v>
      </c>
      <c r="C51" s="10"/>
      <c r="D51" s="10"/>
    </row>
    <row r="52" customFormat="false" ht="15" hidden="false" customHeight="true" outlineLevel="0" collapsed="false">
      <c r="A52" s="11" t="s">
        <v>84</v>
      </c>
      <c r="B52" s="10" t="s">
        <v>94</v>
      </c>
      <c r="C52" s="10"/>
      <c r="D52" s="10"/>
    </row>
  </sheetData>
  <mergeCells count="15">
    <mergeCell ref="B26:D26"/>
    <mergeCell ref="B27:D27"/>
    <mergeCell ref="B28:D28"/>
    <mergeCell ref="B29:D29"/>
    <mergeCell ref="B30:D30"/>
    <mergeCell ref="B31:D31"/>
    <mergeCell ref="B42:D42"/>
    <mergeCell ref="B43:D43"/>
    <mergeCell ref="B44:D44"/>
    <mergeCell ref="B45:D45"/>
    <mergeCell ref="B46:D46"/>
    <mergeCell ref="B47:D47"/>
    <mergeCell ref="B50:D50"/>
    <mergeCell ref="B51:D51"/>
    <mergeCell ref="B52:D5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4" min="3" style="0" width="12"/>
    <col collapsed="false" customWidth="true" hidden="false" outlineLevel="0" max="5" min="5" style="0" width="34"/>
    <col collapsed="false" customWidth="true" hidden="false" outlineLevel="0" max="6" min="6" style="0" width="62"/>
    <col collapsed="false" customWidth="true" hidden="false" outlineLevel="0" max="7" min="7" style="0" width="10"/>
    <col collapsed="false" customWidth="true" hidden="false" outlineLevel="0" max="8" min="8" style="0" width="11"/>
    <col collapsed="false" customWidth="true" hidden="false" outlineLevel="0" max="11" min="9" style="0" width="12"/>
  </cols>
  <sheetData>
    <row r="1" customFormat="false" ht="17.35" hidden="false" customHeight="false" outlineLevel="0" collapsed="false">
      <c r="A1" s="12" t="s">
        <v>95</v>
      </c>
    </row>
    <row r="2" customFormat="false" ht="15" hidden="false" customHeight="false" outlineLevel="0" collapsed="false">
      <c r="A2" s="2" t="s">
        <v>96</v>
      </c>
    </row>
    <row r="4" customFormat="false" ht="31.5" hidden="false" customHeight="true" outlineLevel="0" collapsed="false">
      <c r="A4" s="13" t="s">
        <v>97</v>
      </c>
      <c r="B4" s="13" t="s">
        <v>98</v>
      </c>
      <c r="C4" s="13" t="s">
        <v>99</v>
      </c>
      <c r="D4" s="13" t="s">
        <v>100</v>
      </c>
      <c r="E4" s="13" t="s">
        <v>101</v>
      </c>
      <c r="F4" s="13" t="s">
        <v>102</v>
      </c>
      <c r="G4" s="13" t="s">
        <v>103</v>
      </c>
      <c r="H4" s="13" t="s">
        <v>104</v>
      </c>
      <c r="I4" s="13" t="s">
        <v>105</v>
      </c>
      <c r="J4" s="13" t="s">
        <v>106</v>
      </c>
      <c r="K4" s="13" t="s">
        <v>107</v>
      </c>
    </row>
    <row r="5" customFormat="false" ht="61.5" hidden="false" customHeight="true" outlineLevel="0" collapsed="false">
      <c r="A5" s="14" t="s">
        <v>108</v>
      </c>
      <c r="B5" s="15" t="s">
        <v>109</v>
      </c>
      <c r="C5" s="16" t="n">
        <v>46294</v>
      </c>
      <c r="D5" s="16" t="n">
        <v>46307</v>
      </c>
      <c r="E5" s="6" t="s">
        <v>110</v>
      </c>
      <c r="F5" s="6" t="s">
        <v>111</v>
      </c>
      <c r="G5" s="15" t="n">
        <f aca="false">COUNTIF('Product Backlog'!$M$5:$M$75,A5)</f>
        <v>17</v>
      </c>
      <c r="H5" s="17" t="n">
        <f aca="false">SUMIF('Product Backlog'!$M$5:$M$75,A5,'Product Backlog'!$L$5:$L$75)</f>
        <v>9</v>
      </c>
      <c r="I5" s="17" t="n">
        <f aca="false">SUMPRODUCT(('Product Backlog'!$M$5:$M$75=A5)*(LEFT('Product Backlog'!$F$5:$F$75,6)="Mobile")*'Product Backlog'!$L$5:$L$75)</f>
        <v>0</v>
      </c>
      <c r="J5" s="17" t="n">
        <f aca="false">SUMIFS('Product Backlog'!$L$5:$L$75,'Product Backlog'!$M$5:$M$75,A5,'Product Backlog'!$O$5:$O$75,"Hoàn thành")</f>
        <v>0</v>
      </c>
      <c r="K5" s="18" t="n">
        <f aca="false">IF(H5=0,0,J5/H5)</f>
        <v>0</v>
      </c>
    </row>
    <row r="6" customFormat="false" ht="48" hidden="false" customHeight="true" outlineLevel="0" collapsed="false">
      <c r="A6" s="14" t="s">
        <v>112</v>
      </c>
      <c r="B6" s="15" t="s">
        <v>113</v>
      </c>
      <c r="C6" s="16" t="n">
        <v>46308</v>
      </c>
      <c r="D6" s="16" t="n">
        <v>46321</v>
      </c>
      <c r="E6" s="6" t="s">
        <v>114</v>
      </c>
      <c r="F6" s="6" t="s">
        <v>115</v>
      </c>
      <c r="G6" s="15" t="n">
        <f aca="false">COUNTIF('Product Backlog'!$M$5:$M$75,A6)</f>
        <v>18</v>
      </c>
      <c r="H6" s="17" t="n">
        <f aca="false">SUMIF('Product Backlog'!$M$5:$M$75,A6,'Product Backlog'!$L$5:$L$75)</f>
        <v>25</v>
      </c>
      <c r="I6" s="17" t="n">
        <f aca="false">SUMPRODUCT(('Product Backlog'!$M$5:$M$75=A6)*(LEFT('Product Backlog'!$F$5:$F$75,6)="Mobile")*'Product Backlog'!$L$5:$L$75)</f>
        <v>0</v>
      </c>
      <c r="J6" s="17" t="n">
        <f aca="false">SUMIFS('Product Backlog'!$L$5:$L$75,'Product Backlog'!$M$5:$M$75,A6,'Product Backlog'!$O$5:$O$75,"Hoàn thành")</f>
        <v>0</v>
      </c>
      <c r="K6" s="18" t="n">
        <f aca="false">IF(H6=0,0,J6/H6)</f>
        <v>0</v>
      </c>
    </row>
    <row r="7" customFormat="false" ht="61.5" hidden="false" customHeight="true" outlineLevel="0" collapsed="false">
      <c r="A7" s="14" t="s">
        <v>116</v>
      </c>
      <c r="B7" s="15" t="s">
        <v>117</v>
      </c>
      <c r="C7" s="16" t="n">
        <v>46322</v>
      </c>
      <c r="D7" s="16" t="n">
        <v>46335</v>
      </c>
      <c r="E7" s="6" t="s">
        <v>118</v>
      </c>
      <c r="F7" s="6" t="s">
        <v>119</v>
      </c>
      <c r="G7" s="15" t="n">
        <f aca="false">COUNTIF('Product Backlog'!$M$5:$M$75,A7)</f>
        <v>21</v>
      </c>
      <c r="H7" s="17" t="n">
        <f aca="false">SUMIF('Product Backlog'!$M$5:$M$75,A7,'Product Backlog'!$L$5:$L$75)</f>
        <v>31</v>
      </c>
      <c r="I7" s="17" t="n">
        <f aca="false">SUMPRODUCT(('Product Backlog'!$M$5:$M$75=A7)*(LEFT('Product Backlog'!$F$5:$F$75,6)="Mobile")*'Product Backlog'!$L$5:$L$75)</f>
        <v>8</v>
      </c>
      <c r="J7" s="17" t="n">
        <f aca="false">SUMIFS('Product Backlog'!$L$5:$L$75,'Product Backlog'!$M$5:$M$75,A7,'Product Backlog'!$O$5:$O$75,"Hoàn thành")</f>
        <v>0</v>
      </c>
      <c r="K7" s="18" t="n">
        <f aca="false">IF(H7=0,0,J7/H7)</f>
        <v>0</v>
      </c>
    </row>
    <row r="8" customFormat="false" ht="48" hidden="false" customHeight="true" outlineLevel="0" collapsed="false">
      <c r="A8" s="14" t="s">
        <v>120</v>
      </c>
      <c r="B8" s="15" t="s">
        <v>121</v>
      </c>
      <c r="C8" s="16" t="n">
        <v>46336</v>
      </c>
      <c r="D8" s="16" t="n">
        <v>46349</v>
      </c>
      <c r="E8" s="6" t="s">
        <v>122</v>
      </c>
      <c r="F8" s="6" t="s">
        <v>123</v>
      </c>
      <c r="G8" s="15" t="n">
        <f aca="false">COUNTIF('Product Backlog'!$M$5:$M$75,A8)</f>
        <v>13</v>
      </c>
      <c r="H8" s="17" t="n">
        <f aca="false">SUMIF('Product Backlog'!$M$5:$M$75,A8,'Product Backlog'!$L$5:$L$75)</f>
        <v>31</v>
      </c>
      <c r="I8" s="17" t="n">
        <f aca="false">SUMPRODUCT(('Product Backlog'!$M$5:$M$75=A8)*(LEFT('Product Backlog'!$F$5:$F$75,6)="Mobile")*'Product Backlog'!$L$5:$L$75)</f>
        <v>7</v>
      </c>
      <c r="J8" s="17" t="n">
        <f aca="false">SUMIFS('Product Backlog'!$L$5:$L$75,'Product Backlog'!$M$5:$M$75,A8,'Product Backlog'!$O$5:$O$75,"Hoàn thành")</f>
        <v>0</v>
      </c>
      <c r="K8" s="18" t="n">
        <f aca="false">IF(H8=0,0,J8/H8)</f>
        <v>0</v>
      </c>
    </row>
    <row r="9" customFormat="false" ht="33.75" hidden="false" customHeight="true" outlineLevel="0" collapsed="false">
      <c r="A9" s="14" t="s">
        <v>124</v>
      </c>
      <c r="B9" s="15" t="s">
        <v>125</v>
      </c>
      <c r="C9" s="16" t="n">
        <v>46350</v>
      </c>
      <c r="D9" s="16" t="n">
        <v>46363</v>
      </c>
      <c r="E9" s="6" t="s">
        <v>126</v>
      </c>
      <c r="F9" s="6" t="s">
        <v>127</v>
      </c>
      <c r="G9" s="15" t="n">
        <f aca="false">COUNTIF('Product Backlog'!$M$5:$M$75,A9)</f>
        <v>2</v>
      </c>
      <c r="H9" s="17" t="n">
        <f aca="false">SUMIF('Product Backlog'!$M$5:$M$75,A9,'Product Backlog'!$L$5:$L$75)</f>
        <v>4</v>
      </c>
      <c r="I9" s="17" t="n">
        <f aca="false">SUMPRODUCT(('Product Backlog'!$M$5:$M$75=A9)*(LEFT('Product Backlog'!$F$5:$F$75,6)="Mobile")*'Product Backlog'!$L$5:$L$75)</f>
        <v>4</v>
      </c>
      <c r="J9" s="17" t="n">
        <f aca="false">SUMIFS('Product Backlog'!$L$5:$L$75,'Product Backlog'!$M$5:$M$75,A9,'Product Backlog'!$O$5:$O$75,"Hoàn thành")</f>
        <v>0</v>
      </c>
      <c r="K9" s="18" t="n">
        <f aca="false">IF(H9=0,0,J9/H9)</f>
        <v>0</v>
      </c>
    </row>
    <row r="10" customFormat="false" ht="15" hidden="false" customHeight="false" outlineLevel="0" collapsed="false">
      <c r="A10" s="9" t="s">
        <v>128</v>
      </c>
      <c r="G10" s="14" t="n">
        <f aca="false">SUM(G5:G9)</f>
        <v>71</v>
      </c>
      <c r="H10" s="19" t="n">
        <f aca="false">SUM(H5:H9)</f>
        <v>100</v>
      </c>
      <c r="I10" s="19" t="n">
        <f aca="false">SUM(I5:I9)</f>
        <v>19</v>
      </c>
      <c r="J10" s="19" t="n">
        <f aca="false">SUM(J5:J9)</f>
        <v>0</v>
      </c>
      <c r="K10" s="20" t="n">
        <f aca="false">IF(H10=0,0,J10/H10)</f>
        <v>0</v>
      </c>
    </row>
    <row r="12" customFormat="false" ht="15" hidden="false" customHeight="false" outlineLevel="0" collapsed="false">
      <c r="A12" s="21" t="s">
        <v>129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8"/>
    <col collapsed="false" customWidth="true" hidden="false" outlineLevel="0" max="4" min="4" style="0" width="22"/>
    <col collapsed="false" customWidth="true" hidden="false" outlineLevel="0" max="5" min="5" style="0" width="11"/>
    <col collapsed="false" customWidth="true" hidden="false" outlineLevel="0" max="6" min="6" style="0" width="12"/>
    <col collapsed="false" customWidth="true" hidden="false" outlineLevel="0" max="7" min="7" style="0" width="80"/>
    <col collapsed="false" customWidth="true" hidden="false" outlineLevel="0" max="8" min="8" style="0" width="22"/>
    <col collapsed="false" customWidth="true" hidden="false" outlineLevel="0" max="10" min="9" style="0" width="14"/>
    <col collapsed="false" customWidth="true" hidden="false" outlineLevel="0" max="11" min="11" style="0" width="9"/>
    <col collapsed="false" customWidth="true" hidden="false" outlineLevel="0" max="12" min="12" style="0" width="8"/>
    <col collapsed="false" customWidth="true" hidden="false" outlineLevel="0" max="13" min="13" style="0" width="7"/>
    <col collapsed="false" customWidth="true" hidden="false" outlineLevel="0" max="15" min="14" style="0" width="12"/>
    <col collapsed="false" customWidth="true" hidden="false" outlineLevel="0" max="16" min="16" style="0" width="20"/>
  </cols>
  <sheetData>
    <row r="1" customFormat="false" ht="17.35" hidden="false" customHeight="false" outlineLevel="0" collapsed="false">
      <c r="A1" s="12" t="s">
        <v>130</v>
      </c>
    </row>
    <row r="2" customFormat="false" ht="15" hidden="false" customHeight="false" outlineLevel="0" collapsed="false">
      <c r="A2" s="2" t="s">
        <v>131</v>
      </c>
    </row>
    <row r="4" customFormat="false" ht="30" hidden="false" customHeight="true" outlineLevel="0" collapsed="false">
      <c r="A4" s="13" t="s">
        <v>132</v>
      </c>
      <c r="B4" s="13" t="s">
        <v>133</v>
      </c>
      <c r="C4" s="13" t="s">
        <v>134</v>
      </c>
      <c r="D4" s="13" t="s">
        <v>135</v>
      </c>
      <c r="E4" s="13" t="s">
        <v>136</v>
      </c>
      <c r="F4" s="13" t="s">
        <v>137</v>
      </c>
      <c r="G4" s="13" t="s">
        <v>138</v>
      </c>
      <c r="H4" s="13" t="s">
        <v>139</v>
      </c>
      <c r="I4" s="13" t="s">
        <v>140</v>
      </c>
      <c r="J4" s="13" t="s">
        <v>141</v>
      </c>
      <c r="K4" s="13" t="s">
        <v>142</v>
      </c>
      <c r="L4" s="13" t="s">
        <v>143</v>
      </c>
      <c r="M4" s="13" t="s">
        <v>97</v>
      </c>
      <c r="N4" s="13" t="s">
        <v>144</v>
      </c>
      <c r="O4" s="13" t="s">
        <v>65</v>
      </c>
      <c r="P4" s="13" t="s">
        <v>41</v>
      </c>
    </row>
    <row r="5" customFormat="false" ht="87" hidden="false" customHeight="true" outlineLevel="0" collapsed="false">
      <c r="A5" s="15" t="n">
        <v>1</v>
      </c>
      <c r="B5" s="15" t="s">
        <v>145</v>
      </c>
      <c r="C5" s="5" t="s">
        <v>146</v>
      </c>
      <c r="D5" s="6" t="s">
        <v>147</v>
      </c>
      <c r="E5" s="15" t="s">
        <v>148</v>
      </c>
      <c r="F5" s="6" t="s">
        <v>149</v>
      </c>
      <c r="G5" s="6" t="s">
        <v>150</v>
      </c>
      <c r="H5" s="6" t="s">
        <v>148</v>
      </c>
      <c r="I5" s="6" t="s">
        <v>148</v>
      </c>
      <c r="J5" s="6" t="s">
        <v>148</v>
      </c>
      <c r="K5" s="15" t="s">
        <v>151</v>
      </c>
      <c r="L5" s="17" t="n">
        <v>0.25</v>
      </c>
      <c r="M5" s="15" t="s">
        <v>108</v>
      </c>
      <c r="N5" s="7"/>
      <c r="O5" s="22" t="s">
        <v>68</v>
      </c>
      <c r="P5" s="7"/>
    </row>
    <row r="6" customFormat="false" ht="73.5" hidden="false" customHeight="true" outlineLevel="0" collapsed="false">
      <c r="A6" s="15" t="n">
        <v>2</v>
      </c>
      <c r="B6" s="15" t="s">
        <v>152</v>
      </c>
      <c r="C6" s="5" t="s">
        <v>153</v>
      </c>
      <c r="D6" s="6" t="s">
        <v>147</v>
      </c>
      <c r="E6" s="15" t="s">
        <v>148</v>
      </c>
      <c r="F6" s="6" t="s">
        <v>154</v>
      </c>
      <c r="G6" s="6" t="s">
        <v>155</v>
      </c>
      <c r="H6" s="6" t="s">
        <v>148</v>
      </c>
      <c r="I6" s="6" t="s">
        <v>148</v>
      </c>
      <c r="J6" s="6" t="s">
        <v>145</v>
      </c>
      <c r="K6" s="15" t="s">
        <v>151</v>
      </c>
      <c r="L6" s="17" t="n">
        <v>0.5</v>
      </c>
      <c r="M6" s="15" t="s">
        <v>108</v>
      </c>
      <c r="N6" s="7"/>
      <c r="O6" s="22" t="s">
        <v>68</v>
      </c>
      <c r="P6" s="7"/>
    </row>
    <row r="7" customFormat="false" ht="60" hidden="false" customHeight="true" outlineLevel="0" collapsed="false">
      <c r="A7" s="15" t="n">
        <v>3</v>
      </c>
      <c r="B7" s="15" t="s">
        <v>156</v>
      </c>
      <c r="C7" s="5" t="s">
        <v>157</v>
      </c>
      <c r="D7" s="6" t="s">
        <v>147</v>
      </c>
      <c r="E7" s="15" t="s">
        <v>148</v>
      </c>
      <c r="F7" s="6" t="s">
        <v>158</v>
      </c>
      <c r="G7" s="6" t="s">
        <v>159</v>
      </c>
      <c r="H7" s="6" t="s">
        <v>148</v>
      </c>
      <c r="I7" s="6" t="s">
        <v>148</v>
      </c>
      <c r="J7" s="6" t="s">
        <v>145</v>
      </c>
      <c r="K7" s="15" t="s">
        <v>151</v>
      </c>
      <c r="L7" s="17" t="n">
        <v>0.5</v>
      </c>
      <c r="M7" s="15" t="s">
        <v>108</v>
      </c>
      <c r="N7" s="7"/>
      <c r="O7" s="22" t="s">
        <v>68</v>
      </c>
      <c r="P7" s="7"/>
    </row>
    <row r="8" customFormat="false" ht="87" hidden="false" customHeight="true" outlineLevel="0" collapsed="false">
      <c r="A8" s="15" t="n">
        <v>4</v>
      </c>
      <c r="B8" s="15" t="s">
        <v>160</v>
      </c>
      <c r="C8" s="5" t="s">
        <v>161</v>
      </c>
      <c r="D8" s="6" t="s">
        <v>147</v>
      </c>
      <c r="E8" s="15" t="s">
        <v>162</v>
      </c>
      <c r="F8" s="6" t="s">
        <v>154</v>
      </c>
      <c r="G8" s="6" t="s">
        <v>163</v>
      </c>
      <c r="H8" s="6" t="s">
        <v>148</v>
      </c>
      <c r="I8" s="6" t="s">
        <v>148</v>
      </c>
      <c r="J8" s="6" t="s">
        <v>152</v>
      </c>
      <c r="K8" s="15" t="s">
        <v>151</v>
      </c>
      <c r="L8" s="17" t="n">
        <v>0.75</v>
      </c>
      <c r="M8" s="15" t="s">
        <v>108</v>
      </c>
      <c r="N8" s="7"/>
      <c r="O8" s="22" t="s">
        <v>68</v>
      </c>
      <c r="P8" s="7"/>
    </row>
    <row r="9" customFormat="false" ht="46.5" hidden="false" customHeight="true" outlineLevel="0" collapsed="false">
      <c r="A9" s="15" t="n">
        <v>5</v>
      </c>
      <c r="B9" s="15" t="s">
        <v>164</v>
      </c>
      <c r="C9" s="5" t="s">
        <v>165</v>
      </c>
      <c r="D9" s="6" t="s">
        <v>147</v>
      </c>
      <c r="E9" s="15" t="s">
        <v>166</v>
      </c>
      <c r="F9" s="6" t="s">
        <v>149</v>
      </c>
      <c r="G9" s="6" t="s">
        <v>167</v>
      </c>
      <c r="H9" s="6" t="s">
        <v>148</v>
      </c>
      <c r="I9" s="6" t="s">
        <v>148</v>
      </c>
      <c r="J9" s="6" t="s">
        <v>168</v>
      </c>
      <c r="K9" s="15" t="s">
        <v>151</v>
      </c>
      <c r="L9" s="17" t="n">
        <v>0.25</v>
      </c>
      <c r="M9" s="15" t="s">
        <v>108</v>
      </c>
      <c r="N9" s="7"/>
      <c r="O9" s="22" t="s">
        <v>68</v>
      </c>
      <c r="P9" s="7"/>
    </row>
    <row r="10" customFormat="false" ht="73.5" hidden="false" customHeight="true" outlineLevel="0" collapsed="false">
      <c r="A10" s="15" t="n">
        <v>6</v>
      </c>
      <c r="B10" s="15" t="s">
        <v>169</v>
      </c>
      <c r="C10" s="5" t="s">
        <v>170</v>
      </c>
      <c r="D10" s="6" t="s">
        <v>147</v>
      </c>
      <c r="E10" s="15" t="s">
        <v>171</v>
      </c>
      <c r="F10" s="6" t="s">
        <v>154</v>
      </c>
      <c r="G10" s="6" t="s">
        <v>172</v>
      </c>
      <c r="H10" s="6" t="s">
        <v>173</v>
      </c>
      <c r="I10" s="6" t="s">
        <v>174</v>
      </c>
      <c r="J10" s="6" t="s">
        <v>175</v>
      </c>
      <c r="K10" s="15" t="s">
        <v>151</v>
      </c>
      <c r="L10" s="17" t="n">
        <v>0.75</v>
      </c>
      <c r="M10" s="15" t="s">
        <v>108</v>
      </c>
      <c r="N10" s="7"/>
      <c r="O10" s="22" t="s">
        <v>68</v>
      </c>
      <c r="P10" s="7"/>
    </row>
    <row r="11" customFormat="false" ht="87" hidden="false" customHeight="true" outlineLevel="0" collapsed="false">
      <c r="A11" s="15" t="n">
        <v>7</v>
      </c>
      <c r="B11" s="15" t="s">
        <v>176</v>
      </c>
      <c r="C11" s="5" t="s">
        <v>177</v>
      </c>
      <c r="D11" s="6" t="s">
        <v>178</v>
      </c>
      <c r="E11" s="15" t="s">
        <v>179</v>
      </c>
      <c r="F11" s="6" t="s">
        <v>180</v>
      </c>
      <c r="G11" s="6" t="s">
        <v>181</v>
      </c>
      <c r="H11" s="6" t="s">
        <v>182</v>
      </c>
      <c r="I11" s="6" t="s">
        <v>183</v>
      </c>
      <c r="J11" s="6" t="s">
        <v>184</v>
      </c>
      <c r="K11" s="15" t="s">
        <v>185</v>
      </c>
      <c r="L11" s="17" t="n">
        <v>1</v>
      </c>
      <c r="M11" s="15" t="s">
        <v>108</v>
      </c>
      <c r="N11" s="7"/>
      <c r="O11" s="22" t="s">
        <v>68</v>
      </c>
      <c r="P11" s="7"/>
    </row>
    <row r="12" customFormat="false" ht="73.5" hidden="false" customHeight="true" outlineLevel="0" collapsed="false">
      <c r="A12" s="15" t="n">
        <v>8</v>
      </c>
      <c r="B12" s="15" t="s">
        <v>186</v>
      </c>
      <c r="C12" s="5" t="s">
        <v>187</v>
      </c>
      <c r="D12" s="6" t="s">
        <v>178</v>
      </c>
      <c r="E12" s="15" t="s">
        <v>188</v>
      </c>
      <c r="F12" s="6" t="s">
        <v>180</v>
      </c>
      <c r="G12" s="6" t="s">
        <v>189</v>
      </c>
      <c r="H12" s="6" t="s">
        <v>190</v>
      </c>
      <c r="I12" s="6" t="s">
        <v>191</v>
      </c>
      <c r="J12" s="6" t="s">
        <v>176</v>
      </c>
      <c r="K12" s="15" t="s">
        <v>185</v>
      </c>
      <c r="L12" s="17" t="n">
        <v>0.5</v>
      </c>
      <c r="M12" s="15" t="s">
        <v>108</v>
      </c>
      <c r="N12" s="7"/>
      <c r="O12" s="22" t="s">
        <v>68</v>
      </c>
      <c r="P12" s="7"/>
    </row>
    <row r="13" customFormat="false" ht="60" hidden="false" customHeight="true" outlineLevel="0" collapsed="false">
      <c r="A13" s="15" t="n">
        <v>9</v>
      </c>
      <c r="B13" s="15" t="s">
        <v>192</v>
      </c>
      <c r="C13" s="5" t="s">
        <v>193</v>
      </c>
      <c r="D13" s="6" t="s">
        <v>178</v>
      </c>
      <c r="E13" s="15" t="s">
        <v>194</v>
      </c>
      <c r="F13" s="6" t="s">
        <v>180</v>
      </c>
      <c r="G13" s="6" t="s">
        <v>195</v>
      </c>
      <c r="H13" s="6" t="s">
        <v>196</v>
      </c>
      <c r="I13" s="6" t="s">
        <v>197</v>
      </c>
      <c r="J13" s="6" t="s">
        <v>176</v>
      </c>
      <c r="K13" s="15" t="s">
        <v>185</v>
      </c>
      <c r="L13" s="17" t="n">
        <v>0.5</v>
      </c>
      <c r="M13" s="15" t="s">
        <v>108</v>
      </c>
      <c r="N13" s="7"/>
      <c r="O13" s="22" t="s">
        <v>68</v>
      </c>
      <c r="P13" s="7"/>
    </row>
    <row r="14" customFormat="false" ht="100.5" hidden="false" customHeight="true" outlineLevel="0" collapsed="false">
      <c r="A14" s="15" t="n">
        <v>10</v>
      </c>
      <c r="B14" s="15" t="s">
        <v>198</v>
      </c>
      <c r="C14" s="5" t="s">
        <v>199</v>
      </c>
      <c r="D14" s="6" t="s">
        <v>200</v>
      </c>
      <c r="E14" s="15" t="s">
        <v>201</v>
      </c>
      <c r="F14" s="6" t="s">
        <v>158</v>
      </c>
      <c r="G14" s="6" t="s">
        <v>202</v>
      </c>
      <c r="H14" s="6" t="s">
        <v>203</v>
      </c>
      <c r="I14" s="6" t="s">
        <v>204</v>
      </c>
      <c r="J14" s="6" t="s">
        <v>205</v>
      </c>
      <c r="K14" s="15" t="s">
        <v>151</v>
      </c>
      <c r="L14" s="17" t="n">
        <v>0.5</v>
      </c>
      <c r="M14" s="15" t="s">
        <v>108</v>
      </c>
      <c r="N14" s="7"/>
      <c r="O14" s="22" t="s">
        <v>68</v>
      </c>
      <c r="P14" s="7"/>
    </row>
    <row r="15" customFormat="false" ht="73.5" hidden="false" customHeight="true" outlineLevel="0" collapsed="false">
      <c r="A15" s="15" t="n">
        <v>11</v>
      </c>
      <c r="B15" s="15" t="s">
        <v>206</v>
      </c>
      <c r="C15" s="5" t="s">
        <v>207</v>
      </c>
      <c r="D15" s="6" t="s">
        <v>200</v>
      </c>
      <c r="E15" s="15" t="s">
        <v>208</v>
      </c>
      <c r="F15" s="6" t="s">
        <v>158</v>
      </c>
      <c r="G15" s="6" t="s">
        <v>209</v>
      </c>
      <c r="H15" s="6" t="s">
        <v>210</v>
      </c>
      <c r="I15" s="6" t="s">
        <v>211</v>
      </c>
      <c r="J15" s="6" t="s">
        <v>198</v>
      </c>
      <c r="K15" s="15" t="s">
        <v>151</v>
      </c>
      <c r="L15" s="17" t="n">
        <v>0.25</v>
      </c>
      <c r="M15" s="15" t="s">
        <v>108</v>
      </c>
      <c r="N15" s="7"/>
      <c r="O15" s="22" t="s">
        <v>68</v>
      </c>
      <c r="P15" s="7"/>
    </row>
    <row r="16" customFormat="false" ht="46.5" hidden="false" customHeight="true" outlineLevel="0" collapsed="false">
      <c r="A16" s="15" t="n">
        <v>12</v>
      </c>
      <c r="B16" s="15" t="s">
        <v>212</v>
      </c>
      <c r="C16" s="5" t="s">
        <v>213</v>
      </c>
      <c r="D16" s="6" t="s">
        <v>214</v>
      </c>
      <c r="E16" s="15" t="s">
        <v>215</v>
      </c>
      <c r="F16" s="6" t="s">
        <v>158</v>
      </c>
      <c r="G16" s="6" t="s">
        <v>216</v>
      </c>
      <c r="H16" s="6" t="s">
        <v>217</v>
      </c>
      <c r="I16" s="6" t="s">
        <v>148</v>
      </c>
      <c r="J16" s="6" t="s">
        <v>169</v>
      </c>
      <c r="K16" s="15" t="s">
        <v>151</v>
      </c>
      <c r="L16" s="17" t="n">
        <v>0.25</v>
      </c>
      <c r="M16" s="15" t="s">
        <v>108</v>
      </c>
      <c r="N16" s="7"/>
      <c r="O16" s="22" t="s">
        <v>68</v>
      </c>
      <c r="P16" s="7"/>
    </row>
    <row r="17" customFormat="false" ht="87" hidden="false" customHeight="true" outlineLevel="0" collapsed="false">
      <c r="A17" s="15" t="n">
        <v>13</v>
      </c>
      <c r="B17" s="15" t="s">
        <v>218</v>
      </c>
      <c r="C17" s="5" t="s">
        <v>219</v>
      </c>
      <c r="D17" s="6" t="s">
        <v>220</v>
      </c>
      <c r="E17" s="15" t="s">
        <v>221</v>
      </c>
      <c r="F17" s="6" t="s">
        <v>180</v>
      </c>
      <c r="G17" s="6" t="s">
        <v>222</v>
      </c>
      <c r="H17" s="6" t="s">
        <v>223</v>
      </c>
      <c r="I17" s="6" t="s">
        <v>211</v>
      </c>
      <c r="J17" s="6" t="s">
        <v>224</v>
      </c>
      <c r="K17" s="15" t="s">
        <v>225</v>
      </c>
      <c r="L17" s="17" t="n">
        <v>0.5</v>
      </c>
      <c r="M17" s="15" t="s">
        <v>108</v>
      </c>
      <c r="N17" s="7"/>
      <c r="O17" s="22" t="s">
        <v>68</v>
      </c>
      <c r="P17" s="7"/>
    </row>
    <row r="18" customFormat="false" ht="60" hidden="false" customHeight="true" outlineLevel="0" collapsed="false">
      <c r="A18" s="15" t="n">
        <v>14</v>
      </c>
      <c r="B18" s="15" t="s">
        <v>226</v>
      </c>
      <c r="C18" s="5" t="s">
        <v>227</v>
      </c>
      <c r="D18" s="6" t="s">
        <v>214</v>
      </c>
      <c r="E18" s="15" t="s">
        <v>228</v>
      </c>
      <c r="F18" s="6" t="s">
        <v>180</v>
      </c>
      <c r="G18" s="6" t="s">
        <v>229</v>
      </c>
      <c r="H18" s="6" t="s">
        <v>230</v>
      </c>
      <c r="I18" s="6" t="s">
        <v>204</v>
      </c>
      <c r="J18" s="6" t="s">
        <v>231</v>
      </c>
      <c r="K18" s="15" t="s">
        <v>225</v>
      </c>
      <c r="L18" s="17" t="n">
        <v>0.25</v>
      </c>
      <c r="M18" s="15" t="s">
        <v>108</v>
      </c>
      <c r="N18" s="7"/>
      <c r="O18" s="22" t="s">
        <v>68</v>
      </c>
      <c r="P18" s="7"/>
    </row>
    <row r="19" customFormat="false" ht="60" hidden="false" customHeight="true" outlineLevel="0" collapsed="false">
      <c r="A19" s="15" t="n">
        <v>15</v>
      </c>
      <c r="B19" s="15" t="s">
        <v>232</v>
      </c>
      <c r="C19" s="5" t="s">
        <v>233</v>
      </c>
      <c r="D19" s="6" t="s">
        <v>214</v>
      </c>
      <c r="E19" s="15" t="s">
        <v>234</v>
      </c>
      <c r="F19" s="6" t="s">
        <v>180</v>
      </c>
      <c r="G19" s="6" t="s">
        <v>235</v>
      </c>
      <c r="H19" s="6" t="s">
        <v>236</v>
      </c>
      <c r="I19" s="6" t="s">
        <v>204</v>
      </c>
      <c r="J19" s="6" t="s">
        <v>169</v>
      </c>
      <c r="K19" s="15" t="s">
        <v>225</v>
      </c>
      <c r="L19" s="17" t="n">
        <v>0.5</v>
      </c>
      <c r="M19" s="15" t="s">
        <v>108</v>
      </c>
      <c r="N19" s="7"/>
      <c r="O19" s="22" t="s">
        <v>68</v>
      </c>
      <c r="P19" s="7"/>
    </row>
    <row r="20" customFormat="false" ht="87" hidden="false" customHeight="true" outlineLevel="0" collapsed="false">
      <c r="A20" s="15" t="n">
        <v>16</v>
      </c>
      <c r="B20" s="15" t="s">
        <v>237</v>
      </c>
      <c r="C20" s="5" t="s">
        <v>238</v>
      </c>
      <c r="D20" s="6" t="s">
        <v>214</v>
      </c>
      <c r="E20" s="15" t="s">
        <v>239</v>
      </c>
      <c r="F20" s="6" t="s">
        <v>180</v>
      </c>
      <c r="G20" s="6" t="s">
        <v>240</v>
      </c>
      <c r="H20" s="6" t="s">
        <v>241</v>
      </c>
      <c r="I20" s="6" t="s">
        <v>242</v>
      </c>
      <c r="J20" s="6" t="s">
        <v>232</v>
      </c>
      <c r="K20" s="15" t="s">
        <v>225</v>
      </c>
      <c r="L20" s="17" t="n">
        <v>0.75</v>
      </c>
      <c r="M20" s="15" t="s">
        <v>108</v>
      </c>
      <c r="N20" s="7"/>
      <c r="O20" s="22" t="s">
        <v>68</v>
      </c>
      <c r="P20" s="7"/>
    </row>
    <row r="21" customFormat="false" ht="60" hidden="false" customHeight="true" outlineLevel="0" collapsed="false">
      <c r="A21" s="15" t="n">
        <v>17</v>
      </c>
      <c r="B21" s="15" t="s">
        <v>243</v>
      </c>
      <c r="C21" s="5" t="s">
        <v>244</v>
      </c>
      <c r="D21" s="6" t="s">
        <v>245</v>
      </c>
      <c r="E21" s="15" t="s">
        <v>246</v>
      </c>
      <c r="F21" s="6" t="s">
        <v>154</v>
      </c>
      <c r="G21" s="6" t="s">
        <v>247</v>
      </c>
      <c r="H21" s="6" t="s">
        <v>248</v>
      </c>
      <c r="I21" s="6" t="s">
        <v>174</v>
      </c>
      <c r="J21" s="6" t="s">
        <v>160</v>
      </c>
      <c r="K21" s="15" t="s">
        <v>249</v>
      </c>
      <c r="L21" s="17" t="n">
        <v>1</v>
      </c>
      <c r="M21" s="15" t="s">
        <v>108</v>
      </c>
      <c r="N21" s="7"/>
      <c r="O21" s="22" t="s">
        <v>68</v>
      </c>
      <c r="P21" s="7"/>
    </row>
    <row r="22" customFormat="false" ht="87" hidden="false" customHeight="true" outlineLevel="0" collapsed="false">
      <c r="A22" s="15" t="n">
        <v>18</v>
      </c>
      <c r="B22" s="15" t="s">
        <v>250</v>
      </c>
      <c r="C22" s="5" t="s">
        <v>251</v>
      </c>
      <c r="D22" s="6" t="s">
        <v>252</v>
      </c>
      <c r="E22" s="15" t="s">
        <v>253</v>
      </c>
      <c r="F22" s="6" t="s">
        <v>180</v>
      </c>
      <c r="G22" s="6" t="s">
        <v>254</v>
      </c>
      <c r="H22" s="6" t="s">
        <v>255</v>
      </c>
      <c r="I22" s="6" t="s">
        <v>256</v>
      </c>
      <c r="J22" s="6" t="s">
        <v>257</v>
      </c>
      <c r="K22" s="15" t="s">
        <v>258</v>
      </c>
      <c r="L22" s="17" t="n">
        <v>1.5</v>
      </c>
      <c r="M22" s="15" t="s">
        <v>112</v>
      </c>
      <c r="N22" s="7"/>
      <c r="O22" s="22" t="s">
        <v>68</v>
      </c>
      <c r="P22" s="7"/>
    </row>
    <row r="23" customFormat="false" ht="60" hidden="false" customHeight="true" outlineLevel="0" collapsed="false">
      <c r="A23" s="15" t="n">
        <v>19</v>
      </c>
      <c r="B23" s="15" t="s">
        <v>259</v>
      </c>
      <c r="C23" s="5" t="s">
        <v>260</v>
      </c>
      <c r="D23" s="6" t="s">
        <v>261</v>
      </c>
      <c r="E23" s="15" t="s">
        <v>262</v>
      </c>
      <c r="F23" s="6" t="s">
        <v>180</v>
      </c>
      <c r="G23" s="6" t="s">
        <v>263</v>
      </c>
      <c r="H23" s="6" t="s">
        <v>264</v>
      </c>
      <c r="I23" s="6" t="s">
        <v>148</v>
      </c>
      <c r="J23" s="6" t="s">
        <v>257</v>
      </c>
      <c r="K23" s="15" t="s">
        <v>258</v>
      </c>
      <c r="L23" s="17" t="n">
        <v>0.5</v>
      </c>
      <c r="M23" s="15" t="s">
        <v>112</v>
      </c>
      <c r="N23" s="7"/>
      <c r="O23" s="22" t="s">
        <v>68</v>
      </c>
      <c r="P23" s="7"/>
    </row>
    <row r="24" customFormat="false" ht="87" hidden="false" customHeight="true" outlineLevel="0" collapsed="false">
      <c r="A24" s="15" t="n">
        <v>20</v>
      </c>
      <c r="B24" s="15" t="s">
        <v>265</v>
      </c>
      <c r="C24" s="5" t="s">
        <v>266</v>
      </c>
      <c r="D24" s="6" t="s">
        <v>252</v>
      </c>
      <c r="E24" s="15" t="s">
        <v>267</v>
      </c>
      <c r="F24" s="6" t="s">
        <v>180</v>
      </c>
      <c r="G24" s="6" t="s">
        <v>268</v>
      </c>
      <c r="H24" s="6" t="s">
        <v>269</v>
      </c>
      <c r="I24" s="6" t="s">
        <v>270</v>
      </c>
      <c r="J24" s="6" t="s">
        <v>271</v>
      </c>
      <c r="K24" s="15" t="s">
        <v>272</v>
      </c>
      <c r="L24" s="17" t="n">
        <v>0.75</v>
      </c>
      <c r="M24" s="15" t="s">
        <v>112</v>
      </c>
      <c r="N24" s="7"/>
      <c r="O24" s="22" t="s">
        <v>68</v>
      </c>
      <c r="P24" s="7"/>
    </row>
    <row r="25" customFormat="false" ht="60" hidden="false" customHeight="true" outlineLevel="0" collapsed="false">
      <c r="A25" s="15" t="n">
        <v>21</v>
      </c>
      <c r="B25" s="15" t="s">
        <v>273</v>
      </c>
      <c r="C25" s="5" t="s">
        <v>274</v>
      </c>
      <c r="D25" s="6" t="s">
        <v>275</v>
      </c>
      <c r="E25" s="15" t="s">
        <v>148</v>
      </c>
      <c r="F25" s="6" t="s">
        <v>154</v>
      </c>
      <c r="G25" s="6" t="s">
        <v>276</v>
      </c>
      <c r="H25" s="6" t="s">
        <v>277</v>
      </c>
      <c r="I25" s="6" t="s">
        <v>278</v>
      </c>
      <c r="J25" s="6" t="s">
        <v>175</v>
      </c>
      <c r="K25" s="15" t="s">
        <v>279</v>
      </c>
      <c r="L25" s="17" t="n">
        <v>0.75</v>
      </c>
      <c r="M25" s="15" t="s">
        <v>112</v>
      </c>
      <c r="N25" s="7"/>
      <c r="O25" s="22" t="s">
        <v>68</v>
      </c>
      <c r="P25" s="7"/>
    </row>
    <row r="26" customFormat="false" ht="73.5" hidden="false" customHeight="true" outlineLevel="0" collapsed="false">
      <c r="A26" s="15" t="n">
        <v>22</v>
      </c>
      <c r="B26" s="15" t="s">
        <v>280</v>
      </c>
      <c r="C26" s="5" t="s">
        <v>281</v>
      </c>
      <c r="D26" s="6" t="s">
        <v>275</v>
      </c>
      <c r="E26" s="15" t="s">
        <v>282</v>
      </c>
      <c r="F26" s="6" t="s">
        <v>180</v>
      </c>
      <c r="G26" s="6" t="s">
        <v>283</v>
      </c>
      <c r="H26" s="6" t="s">
        <v>284</v>
      </c>
      <c r="I26" s="6" t="s">
        <v>148</v>
      </c>
      <c r="J26" s="6" t="s">
        <v>285</v>
      </c>
      <c r="K26" s="15" t="s">
        <v>279</v>
      </c>
      <c r="L26" s="17" t="n">
        <v>0.75</v>
      </c>
      <c r="M26" s="15" t="s">
        <v>112</v>
      </c>
      <c r="N26" s="7"/>
      <c r="O26" s="22" t="s">
        <v>68</v>
      </c>
      <c r="P26" s="7"/>
    </row>
    <row r="27" customFormat="false" ht="100.5" hidden="false" customHeight="true" outlineLevel="0" collapsed="false">
      <c r="A27" s="15" t="n">
        <v>23</v>
      </c>
      <c r="B27" s="15" t="s">
        <v>286</v>
      </c>
      <c r="C27" s="5" t="s">
        <v>287</v>
      </c>
      <c r="D27" s="6" t="s">
        <v>275</v>
      </c>
      <c r="E27" s="15" t="s">
        <v>288</v>
      </c>
      <c r="F27" s="6" t="s">
        <v>180</v>
      </c>
      <c r="G27" s="6" t="s">
        <v>289</v>
      </c>
      <c r="H27" s="6" t="s">
        <v>290</v>
      </c>
      <c r="I27" s="6" t="s">
        <v>291</v>
      </c>
      <c r="J27" s="6" t="s">
        <v>292</v>
      </c>
      <c r="K27" s="15" t="s">
        <v>279</v>
      </c>
      <c r="L27" s="17" t="n">
        <v>1.5</v>
      </c>
      <c r="M27" s="15" t="s">
        <v>112</v>
      </c>
      <c r="N27" s="7"/>
      <c r="O27" s="22" t="s">
        <v>68</v>
      </c>
      <c r="P27" s="7"/>
    </row>
    <row r="28" customFormat="false" ht="100.5" hidden="false" customHeight="true" outlineLevel="0" collapsed="false">
      <c r="A28" s="15" t="n">
        <v>24</v>
      </c>
      <c r="B28" s="15" t="s">
        <v>293</v>
      </c>
      <c r="C28" s="5" t="s">
        <v>294</v>
      </c>
      <c r="D28" s="6" t="s">
        <v>275</v>
      </c>
      <c r="E28" s="15" t="s">
        <v>295</v>
      </c>
      <c r="F28" s="6" t="s">
        <v>180</v>
      </c>
      <c r="G28" s="6" t="s">
        <v>296</v>
      </c>
      <c r="H28" s="6" t="s">
        <v>297</v>
      </c>
      <c r="I28" s="6" t="s">
        <v>148</v>
      </c>
      <c r="J28" s="6" t="s">
        <v>286</v>
      </c>
      <c r="K28" s="15" t="s">
        <v>279</v>
      </c>
      <c r="L28" s="17" t="n">
        <v>1</v>
      </c>
      <c r="M28" s="15" t="s">
        <v>112</v>
      </c>
      <c r="N28" s="7"/>
      <c r="O28" s="22" t="s">
        <v>68</v>
      </c>
      <c r="P28" s="7"/>
    </row>
    <row r="29" customFormat="false" ht="127.5" hidden="false" customHeight="true" outlineLevel="0" collapsed="false">
      <c r="A29" s="15" t="n">
        <v>25</v>
      </c>
      <c r="B29" s="15" t="s">
        <v>298</v>
      </c>
      <c r="C29" s="5" t="s">
        <v>299</v>
      </c>
      <c r="D29" s="6" t="s">
        <v>300</v>
      </c>
      <c r="E29" s="15" t="s">
        <v>301</v>
      </c>
      <c r="F29" s="6" t="s">
        <v>180</v>
      </c>
      <c r="G29" s="6" t="s">
        <v>302</v>
      </c>
      <c r="H29" s="6" t="s">
        <v>303</v>
      </c>
      <c r="I29" s="6" t="s">
        <v>174</v>
      </c>
      <c r="J29" s="6" t="s">
        <v>304</v>
      </c>
      <c r="K29" s="15" t="s">
        <v>305</v>
      </c>
      <c r="L29" s="17" t="n">
        <v>2</v>
      </c>
      <c r="M29" s="15" t="s">
        <v>112</v>
      </c>
      <c r="N29" s="7"/>
      <c r="O29" s="22" t="s">
        <v>68</v>
      </c>
      <c r="P29" s="7"/>
    </row>
    <row r="30" customFormat="false" ht="100.5" hidden="false" customHeight="true" outlineLevel="0" collapsed="false">
      <c r="A30" s="15" t="n">
        <v>26</v>
      </c>
      <c r="B30" s="15" t="s">
        <v>306</v>
      </c>
      <c r="C30" s="5" t="s">
        <v>307</v>
      </c>
      <c r="D30" s="6" t="s">
        <v>300</v>
      </c>
      <c r="E30" s="15" t="s">
        <v>308</v>
      </c>
      <c r="F30" s="6" t="s">
        <v>180</v>
      </c>
      <c r="G30" s="6" t="s">
        <v>309</v>
      </c>
      <c r="H30" s="6" t="s">
        <v>310</v>
      </c>
      <c r="I30" s="6" t="s">
        <v>311</v>
      </c>
      <c r="J30" s="6" t="s">
        <v>312</v>
      </c>
      <c r="K30" s="15" t="s">
        <v>305</v>
      </c>
      <c r="L30" s="17" t="n">
        <v>1.5</v>
      </c>
      <c r="M30" s="15" t="s">
        <v>112</v>
      </c>
      <c r="N30" s="7"/>
      <c r="O30" s="22" t="s">
        <v>68</v>
      </c>
      <c r="P30" s="7"/>
    </row>
    <row r="31" customFormat="false" ht="114" hidden="false" customHeight="true" outlineLevel="0" collapsed="false">
      <c r="A31" s="15" t="n">
        <v>27</v>
      </c>
      <c r="B31" s="15" t="s">
        <v>313</v>
      </c>
      <c r="C31" s="5" t="s">
        <v>314</v>
      </c>
      <c r="D31" s="6" t="s">
        <v>315</v>
      </c>
      <c r="E31" s="15" t="s">
        <v>316</v>
      </c>
      <c r="F31" s="6" t="s">
        <v>180</v>
      </c>
      <c r="G31" s="6" t="s">
        <v>317</v>
      </c>
      <c r="H31" s="6" t="s">
        <v>318</v>
      </c>
      <c r="I31" s="6" t="s">
        <v>319</v>
      </c>
      <c r="J31" s="6" t="s">
        <v>298</v>
      </c>
      <c r="K31" s="15" t="s">
        <v>305</v>
      </c>
      <c r="L31" s="17" t="n">
        <v>1.5</v>
      </c>
      <c r="M31" s="15" t="s">
        <v>112</v>
      </c>
      <c r="N31" s="7"/>
      <c r="O31" s="22" t="s">
        <v>68</v>
      </c>
      <c r="P31" s="7"/>
    </row>
    <row r="32" customFormat="false" ht="100.5" hidden="false" customHeight="true" outlineLevel="0" collapsed="false">
      <c r="A32" s="15" t="n">
        <v>28</v>
      </c>
      <c r="B32" s="15" t="s">
        <v>320</v>
      </c>
      <c r="C32" s="5" t="s">
        <v>321</v>
      </c>
      <c r="D32" s="6" t="s">
        <v>300</v>
      </c>
      <c r="E32" s="15" t="s">
        <v>322</v>
      </c>
      <c r="F32" s="6" t="s">
        <v>180</v>
      </c>
      <c r="G32" s="6" t="s">
        <v>323</v>
      </c>
      <c r="H32" s="6" t="s">
        <v>324</v>
      </c>
      <c r="I32" s="6" t="s">
        <v>325</v>
      </c>
      <c r="J32" s="6" t="s">
        <v>306</v>
      </c>
      <c r="K32" s="15" t="s">
        <v>326</v>
      </c>
      <c r="L32" s="17" t="n">
        <v>1.5</v>
      </c>
      <c r="M32" s="15" t="s">
        <v>112</v>
      </c>
      <c r="N32" s="7"/>
      <c r="O32" s="22" t="s">
        <v>68</v>
      </c>
      <c r="P32" s="7"/>
    </row>
    <row r="33" customFormat="false" ht="46.5" hidden="false" customHeight="true" outlineLevel="0" collapsed="false">
      <c r="A33" s="15" t="n">
        <v>29</v>
      </c>
      <c r="B33" s="15" t="s">
        <v>327</v>
      </c>
      <c r="C33" s="5" t="s">
        <v>328</v>
      </c>
      <c r="D33" s="6" t="s">
        <v>245</v>
      </c>
      <c r="E33" s="15" t="s">
        <v>329</v>
      </c>
      <c r="F33" s="6" t="s">
        <v>154</v>
      </c>
      <c r="G33" s="6" t="s">
        <v>330</v>
      </c>
      <c r="H33" s="6" t="s">
        <v>331</v>
      </c>
      <c r="I33" s="6" t="s">
        <v>332</v>
      </c>
      <c r="J33" s="6" t="s">
        <v>313</v>
      </c>
      <c r="K33" s="15" t="s">
        <v>326</v>
      </c>
      <c r="L33" s="17" t="n">
        <v>0.5</v>
      </c>
      <c r="M33" s="15" t="s">
        <v>112</v>
      </c>
      <c r="N33" s="7"/>
      <c r="O33" s="22" t="s">
        <v>68</v>
      </c>
      <c r="P33" s="7"/>
    </row>
    <row r="34" customFormat="false" ht="87" hidden="false" customHeight="true" outlineLevel="0" collapsed="false">
      <c r="A34" s="15" t="n">
        <v>30</v>
      </c>
      <c r="B34" s="15" t="s">
        <v>333</v>
      </c>
      <c r="C34" s="5" t="s">
        <v>334</v>
      </c>
      <c r="D34" s="6" t="s">
        <v>335</v>
      </c>
      <c r="E34" s="15" t="s">
        <v>336</v>
      </c>
      <c r="F34" s="6" t="s">
        <v>180</v>
      </c>
      <c r="G34" s="6" t="s">
        <v>337</v>
      </c>
      <c r="H34" s="6" t="s">
        <v>338</v>
      </c>
      <c r="I34" s="6" t="s">
        <v>339</v>
      </c>
      <c r="J34" s="6" t="s">
        <v>320</v>
      </c>
      <c r="K34" s="15" t="s">
        <v>340</v>
      </c>
      <c r="L34" s="17" t="n">
        <v>1.5</v>
      </c>
      <c r="M34" s="15" t="s">
        <v>112</v>
      </c>
      <c r="N34" s="7"/>
      <c r="O34" s="22" t="s">
        <v>68</v>
      </c>
      <c r="P34" s="7"/>
    </row>
    <row r="35" customFormat="false" ht="127.5" hidden="false" customHeight="true" outlineLevel="0" collapsed="false">
      <c r="A35" s="15" t="n">
        <v>31</v>
      </c>
      <c r="B35" s="15" t="s">
        <v>341</v>
      </c>
      <c r="C35" s="5" t="s">
        <v>342</v>
      </c>
      <c r="D35" s="6" t="s">
        <v>335</v>
      </c>
      <c r="E35" s="15" t="s">
        <v>343</v>
      </c>
      <c r="F35" s="6" t="s">
        <v>180</v>
      </c>
      <c r="G35" s="6" t="s">
        <v>344</v>
      </c>
      <c r="H35" s="6" t="s">
        <v>345</v>
      </c>
      <c r="I35" s="6" t="s">
        <v>346</v>
      </c>
      <c r="J35" s="6" t="s">
        <v>347</v>
      </c>
      <c r="K35" s="15" t="s">
        <v>340</v>
      </c>
      <c r="L35" s="17" t="n">
        <v>3</v>
      </c>
      <c r="M35" s="15" t="s">
        <v>112</v>
      </c>
      <c r="N35" s="7"/>
      <c r="O35" s="22" t="s">
        <v>68</v>
      </c>
      <c r="P35" s="7"/>
    </row>
    <row r="36" customFormat="false" ht="73.5" hidden="false" customHeight="true" outlineLevel="0" collapsed="false">
      <c r="A36" s="15" t="n">
        <v>32</v>
      </c>
      <c r="B36" s="15" t="s">
        <v>348</v>
      </c>
      <c r="C36" s="5" t="s">
        <v>349</v>
      </c>
      <c r="D36" s="6" t="s">
        <v>350</v>
      </c>
      <c r="E36" s="15" t="s">
        <v>351</v>
      </c>
      <c r="F36" s="6" t="s">
        <v>158</v>
      </c>
      <c r="G36" s="6" t="s">
        <v>352</v>
      </c>
      <c r="H36" s="6" t="s">
        <v>353</v>
      </c>
      <c r="I36" s="6" t="s">
        <v>278</v>
      </c>
      <c r="J36" s="6" t="s">
        <v>156</v>
      </c>
      <c r="K36" s="15" t="s">
        <v>340</v>
      </c>
      <c r="L36" s="17" t="n">
        <v>0.75</v>
      </c>
      <c r="M36" s="15" t="s">
        <v>112</v>
      </c>
      <c r="N36" s="7"/>
      <c r="O36" s="22" t="s">
        <v>68</v>
      </c>
      <c r="P36" s="7"/>
    </row>
    <row r="37" customFormat="false" ht="114" hidden="false" customHeight="true" outlineLevel="0" collapsed="false">
      <c r="A37" s="15" t="n">
        <v>33</v>
      </c>
      <c r="B37" s="15" t="s">
        <v>354</v>
      </c>
      <c r="C37" s="5" t="s">
        <v>355</v>
      </c>
      <c r="D37" s="6" t="s">
        <v>300</v>
      </c>
      <c r="E37" s="15" t="s">
        <v>356</v>
      </c>
      <c r="F37" s="6" t="s">
        <v>180</v>
      </c>
      <c r="G37" s="6" t="s">
        <v>357</v>
      </c>
      <c r="H37" s="6" t="s">
        <v>358</v>
      </c>
      <c r="I37" s="6" t="s">
        <v>359</v>
      </c>
      <c r="J37" s="6" t="s">
        <v>341</v>
      </c>
      <c r="K37" s="15" t="s">
        <v>249</v>
      </c>
      <c r="L37" s="17" t="n">
        <v>2</v>
      </c>
      <c r="M37" s="15" t="s">
        <v>112</v>
      </c>
      <c r="N37" s="7"/>
      <c r="O37" s="22" t="s">
        <v>68</v>
      </c>
      <c r="P37" s="7"/>
    </row>
    <row r="38" customFormat="false" ht="60" hidden="false" customHeight="true" outlineLevel="0" collapsed="false">
      <c r="A38" s="15" t="n">
        <v>34</v>
      </c>
      <c r="B38" s="15" t="s">
        <v>360</v>
      </c>
      <c r="C38" s="5" t="s">
        <v>361</v>
      </c>
      <c r="D38" s="6" t="s">
        <v>300</v>
      </c>
      <c r="E38" s="15" t="s">
        <v>362</v>
      </c>
      <c r="F38" s="6" t="s">
        <v>180</v>
      </c>
      <c r="G38" s="6" t="s">
        <v>363</v>
      </c>
      <c r="H38" s="6" t="s">
        <v>364</v>
      </c>
      <c r="I38" s="6" t="s">
        <v>148</v>
      </c>
      <c r="J38" s="6" t="s">
        <v>298</v>
      </c>
      <c r="K38" s="15" t="s">
        <v>249</v>
      </c>
      <c r="L38" s="17" t="n">
        <v>1</v>
      </c>
      <c r="M38" s="15" t="s">
        <v>112</v>
      </c>
      <c r="N38" s="7"/>
      <c r="O38" s="22" t="s">
        <v>68</v>
      </c>
      <c r="P38" s="7"/>
    </row>
    <row r="39" customFormat="false" ht="73.5" hidden="false" customHeight="true" outlineLevel="0" collapsed="false">
      <c r="A39" s="15" t="n">
        <v>35</v>
      </c>
      <c r="B39" s="15" t="s">
        <v>365</v>
      </c>
      <c r="C39" s="5" t="s">
        <v>366</v>
      </c>
      <c r="D39" s="6" t="s">
        <v>245</v>
      </c>
      <c r="E39" s="15" t="s">
        <v>367</v>
      </c>
      <c r="F39" s="6" t="s">
        <v>154</v>
      </c>
      <c r="G39" s="6" t="s">
        <v>368</v>
      </c>
      <c r="H39" s="6" t="s">
        <v>369</v>
      </c>
      <c r="I39" s="6" t="s">
        <v>148</v>
      </c>
      <c r="J39" s="6" t="s">
        <v>370</v>
      </c>
      <c r="K39" s="15" t="s">
        <v>371</v>
      </c>
      <c r="L39" s="17" t="n">
        <v>3</v>
      </c>
      <c r="M39" s="15" t="s">
        <v>112</v>
      </c>
      <c r="N39" s="7"/>
      <c r="O39" s="22" t="s">
        <v>68</v>
      </c>
      <c r="P39" s="7"/>
    </row>
    <row r="40" customFormat="false" ht="60" hidden="false" customHeight="true" outlineLevel="0" collapsed="false">
      <c r="A40" s="15" t="n">
        <v>36</v>
      </c>
      <c r="B40" s="15" t="s">
        <v>372</v>
      </c>
      <c r="C40" s="5" t="s">
        <v>373</v>
      </c>
      <c r="D40" s="6" t="s">
        <v>335</v>
      </c>
      <c r="E40" s="15" t="s">
        <v>374</v>
      </c>
      <c r="F40" s="6" t="s">
        <v>180</v>
      </c>
      <c r="G40" s="6" t="s">
        <v>375</v>
      </c>
      <c r="H40" s="6" t="s">
        <v>376</v>
      </c>
      <c r="I40" s="6" t="s">
        <v>148</v>
      </c>
      <c r="J40" s="6" t="s">
        <v>341</v>
      </c>
      <c r="K40" s="15" t="s">
        <v>340</v>
      </c>
      <c r="L40" s="17" t="n">
        <v>0.75</v>
      </c>
      <c r="M40" s="15" t="s">
        <v>116</v>
      </c>
      <c r="N40" s="7"/>
      <c r="O40" s="22" t="s">
        <v>68</v>
      </c>
      <c r="P40" s="7"/>
    </row>
    <row r="41" customFormat="false" ht="60" hidden="false" customHeight="true" outlineLevel="0" collapsed="false">
      <c r="A41" s="15" t="n">
        <v>37</v>
      </c>
      <c r="B41" s="15" t="s">
        <v>377</v>
      </c>
      <c r="C41" s="5" t="s">
        <v>378</v>
      </c>
      <c r="D41" s="6" t="s">
        <v>315</v>
      </c>
      <c r="E41" s="15" t="s">
        <v>379</v>
      </c>
      <c r="F41" s="6" t="s">
        <v>180</v>
      </c>
      <c r="G41" s="6" t="s">
        <v>380</v>
      </c>
      <c r="H41" s="6" t="s">
        <v>381</v>
      </c>
      <c r="I41" s="6" t="s">
        <v>382</v>
      </c>
      <c r="J41" s="6" t="s">
        <v>383</v>
      </c>
      <c r="K41" s="15" t="s">
        <v>279</v>
      </c>
      <c r="L41" s="17" t="n">
        <v>1</v>
      </c>
      <c r="M41" s="15" t="s">
        <v>116</v>
      </c>
      <c r="N41" s="7"/>
      <c r="O41" s="22" t="s">
        <v>68</v>
      </c>
      <c r="P41" s="7"/>
    </row>
    <row r="42" customFormat="false" ht="87" hidden="false" customHeight="true" outlineLevel="0" collapsed="false">
      <c r="A42" s="15" t="n">
        <v>38</v>
      </c>
      <c r="B42" s="15" t="s">
        <v>384</v>
      </c>
      <c r="C42" s="5" t="s">
        <v>385</v>
      </c>
      <c r="D42" s="6" t="s">
        <v>315</v>
      </c>
      <c r="E42" s="15" t="s">
        <v>386</v>
      </c>
      <c r="F42" s="6" t="s">
        <v>180</v>
      </c>
      <c r="G42" s="6" t="s">
        <v>387</v>
      </c>
      <c r="H42" s="6" t="s">
        <v>388</v>
      </c>
      <c r="I42" s="6" t="s">
        <v>389</v>
      </c>
      <c r="J42" s="6" t="s">
        <v>354</v>
      </c>
      <c r="K42" s="15" t="s">
        <v>326</v>
      </c>
      <c r="L42" s="17" t="n">
        <v>1.5</v>
      </c>
      <c r="M42" s="15" t="s">
        <v>116</v>
      </c>
      <c r="N42" s="7"/>
      <c r="O42" s="22" t="s">
        <v>68</v>
      </c>
      <c r="P42" s="7"/>
    </row>
    <row r="43" customFormat="false" ht="73.5" hidden="false" customHeight="true" outlineLevel="0" collapsed="false">
      <c r="A43" s="15" t="n">
        <v>39</v>
      </c>
      <c r="B43" s="15" t="s">
        <v>390</v>
      </c>
      <c r="C43" s="5" t="s">
        <v>391</v>
      </c>
      <c r="D43" s="6" t="s">
        <v>392</v>
      </c>
      <c r="E43" s="15" t="s">
        <v>393</v>
      </c>
      <c r="F43" s="6" t="s">
        <v>180</v>
      </c>
      <c r="G43" s="6" t="s">
        <v>394</v>
      </c>
      <c r="H43" s="6" t="s">
        <v>395</v>
      </c>
      <c r="I43" s="6" t="s">
        <v>204</v>
      </c>
      <c r="J43" s="6" t="s">
        <v>396</v>
      </c>
      <c r="K43" s="15" t="s">
        <v>305</v>
      </c>
      <c r="L43" s="17" t="n">
        <v>1</v>
      </c>
      <c r="M43" s="15" t="s">
        <v>116</v>
      </c>
      <c r="N43" s="7"/>
      <c r="O43" s="22" t="s">
        <v>68</v>
      </c>
      <c r="P43" s="7"/>
    </row>
    <row r="44" customFormat="false" ht="114" hidden="false" customHeight="true" outlineLevel="0" collapsed="false">
      <c r="A44" s="15" t="n">
        <v>40</v>
      </c>
      <c r="B44" s="15" t="s">
        <v>397</v>
      </c>
      <c r="C44" s="5" t="s">
        <v>398</v>
      </c>
      <c r="D44" s="6" t="s">
        <v>261</v>
      </c>
      <c r="E44" s="15" t="s">
        <v>399</v>
      </c>
      <c r="F44" s="6" t="s">
        <v>180</v>
      </c>
      <c r="G44" s="6" t="s">
        <v>400</v>
      </c>
      <c r="H44" s="6" t="s">
        <v>401</v>
      </c>
      <c r="I44" s="6" t="s">
        <v>402</v>
      </c>
      <c r="J44" s="6" t="s">
        <v>257</v>
      </c>
      <c r="K44" s="15" t="s">
        <v>326</v>
      </c>
      <c r="L44" s="17" t="n">
        <v>0.75</v>
      </c>
      <c r="M44" s="15" t="s">
        <v>116</v>
      </c>
      <c r="N44" s="7"/>
      <c r="O44" s="22" t="s">
        <v>68</v>
      </c>
      <c r="P44" s="7"/>
    </row>
    <row r="45" customFormat="false" ht="46.5" hidden="false" customHeight="true" outlineLevel="0" collapsed="false">
      <c r="A45" s="15" t="n">
        <v>41</v>
      </c>
      <c r="B45" s="15" t="s">
        <v>403</v>
      </c>
      <c r="C45" s="5" t="s">
        <v>404</v>
      </c>
      <c r="D45" s="6" t="s">
        <v>245</v>
      </c>
      <c r="E45" s="15" t="s">
        <v>405</v>
      </c>
      <c r="F45" s="6" t="s">
        <v>154</v>
      </c>
      <c r="G45" s="6" t="s">
        <v>406</v>
      </c>
      <c r="H45" s="6" t="s">
        <v>407</v>
      </c>
      <c r="I45" s="6" t="s">
        <v>408</v>
      </c>
      <c r="J45" s="6" t="s">
        <v>409</v>
      </c>
      <c r="K45" s="15" t="s">
        <v>326</v>
      </c>
      <c r="L45" s="17" t="n">
        <v>0.75</v>
      </c>
      <c r="M45" s="15" t="s">
        <v>116</v>
      </c>
      <c r="N45" s="7"/>
      <c r="O45" s="22" t="s">
        <v>68</v>
      </c>
      <c r="P45" s="7"/>
    </row>
    <row r="46" customFormat="false" ht="73.5" hidden="false" customHeight="true" outlineLevel="0" collapsed="false">
      <c r="A46" s="15" t="n">
        <v>42</v>
      </c>
      <c r="B46" s="15" t="s">
        <v>410</v>
      </c>
      <c r="C46" s="5" t="s">
        <v>411</v>
      </c>
      <c r="D46" s="6" t="s">
        <v>261</v>
      </c>
      <c r="E46" s="15" t="s">
        <v>412</v>
      </c>
      <c r="F46" s="6" t="s">
        <v>180</v>
      </c>
      <c r="G46" s="6" t="s">
        <v>413</v>
      </c>
      <c r="H46" s="6" t="s">
        <v>414</v>
      </c>
      <c r="I46" s="6" t="s">
        <v>174</v>
      </c>
      <c r="J46" s="6" t="s">
        <v>243</v>
      </c>
      <c r="K46" s="15" t="s">
        <v>249</v>
      </c>
      <c r="L46" s="17" t="n">
        <v>1</v>
      </c>
      <c r="M46" s="15" t="s">
        <v>116</v>
      </c>
      <c r="N46" s="7"/>
      <c r="O46" s="22" t="s">
        <v>68</v>
      </c>
      <c r="P46" s="7"/>
    </row>
    <row r="47" customFormat="false" ht="60" hidden="false" customHeight="true" outlineLevel="0" collapsed="false">
      <c r="A47" s="15" t="n">
        <v>43</v>
      </c>
      <c r="B47" s="15" t="s">
        <v>415</v>
      </c>
      <c r="C47" s="5" t="s">
        <v>416</v>
      </c>
      <c r="D47" s="6" t="s">
        <v>220</v>
      </c>
      <c r="E47" s="15" t="s">
        <v>417</v>
      </c>
      <c r="F47" s="6" t="s">
        <v>180</v>
      </c>
      <c r="G47" s="6" t="s">
        <v>418</v>
      </c>
      <c r="H47" s="6" t="s">
        <v>419</v>
      </c>
      <c r="I47" s="6" t="s">
        <v>148</v>
      </c>
      <c r="J47" s="6" t="s">
        <v>420</v>
      </c>
      <c r="K47" s="15" t="s">
        <v>371</v>
      </c>
      <c r="L47" s="17" t="n">
        <v>2</v>
      </c>
      <c r="M47" s="15" t="s">
        <v>116</v>
      </c>
      <c r="N47" s="7"/>
      <c r="O47" s="22" t="s">
        <v>68</v>
      </c>
      <c r="P47" s="7"/>
    </row>
    <row r="48" customFormat="false" ht="46.5" hidden="false" customHeight="true" outlineLevel="0" collapsed="false">
      <c r="A48" s="15" t="n">
        <v>44</v>
      </c>
      <c r="B48" s="15" t="s">
        <v>421</v>
      </c>
      <c r="C48" s="5" t="s">
        <v>422</v>
      </c>
      <c r="D48" s="6" t="s">
        <v>220</v>
      </c>
      <c r="E48" s="15" t="s">
        <v>423</v>
      </c>
      <c r="F48" s="6" t="s">
        <v>180</v>
      </c>
      <c r="G48" s="6" t="s">
        <v>424</v>
      </c>
      <c r="H48" s="6" t="s">
        <v>425</v>
      </c>
      <c r="I48" s="6" t="s">
        <v>148</v>
      </c>
      <c r="J48" s="6" t="s">
        <v>415</v>
      </c>
      <c r="K48" s="15" t="s">
        <v>371</v>
      </c>
      <c r="L48" s="17" t="n">
        <v>1</v>
      </c>
      <c r="M48" s="15" t="s">
        <v>116</v>
      </c>
      <c r="N48" s="7"/>
      <c r="O48" s="22" t="s">
        <v>68</v>
      </c>
      <c r="P48" s="7"/>
    </row>
    <row r="49" customFormat="false" ht="87" hidden="false" customHeight="true" outlineLevel="0" collapsed="false">
      <c r="A49" s="15" t="n">
        <v>45</v>
      </c>
      <c r="B49" s="15" t="s">
        <v>426</v>
      </c>
      <c r="C49" s="5" t="s">
        <v>427</v>
      </c>
      <c r="D49" s="6" t="s">
        <v>428</v>
      </c>
      <c r="E49" s="15" t="s">
        <v>429</v>
      </c>
      <c r="F49" s="6" t="s">
        <v>180</v>
      </c>
      <c r="G49" s="6" t="s">
        <v>430</v>
      </c>
      <c r="H49" s="6" t="s">
        <v>431</v>
      </c>
      <c r="I49" s="6" t="s">
        <v>432</v>
      </c>
      <c r="J49" s="6" t="s">
        <v>265</v>
      </c>
      <c r="K49" s="15" t="s">
        <v>272</v>
      </c>
      <c r="L49" s="17" t="n">
        <v>0.75</v>
      </c>
      <c r="M49" s="15" t="s">
        <v>116</v>
      </c>
      <c r="N49" s="7"/>
      <c r="O49" s="22" t="s">
        <v>68</v>
      </c>
      <c r="P49" s="7"/>
    </row>
    <row r="50" customFormat="false" ht="87" hidden="false" customHeight="true" outlineLevel="0" collapsed="false">
      <c r="A50" s="15" t="n">
        <v>46</v>
      </c>
      <c r="B50" s="15" t="s">
        <v>433</v>
      </c>
      <c r="C50" s="5" t="s">
        <v>434</v>
      </c>
      <c r="D50" s="6" t="s">
        <v>428</v>
      </c>
      <c r="E50" s="15" t="s">
        <v>435</v>
      </c>
      <c r="F50" s="6" t="s">
        <v>180</v>
      </c>
      <c r="G50" s="6" t="s">
        <v>436</v>
      </c>
      <c r="H50" s="6" t="s">
        <v>437</v>
      </c>
      <c r="I50" s="6" t="s">
        <v>438</v>
      </c>
      <c r="J50" s="6" t="s">
        <v>439</v>
      </c>
      <c r="K50" s="15" t="s">
        <v>272</v>
      </c>
      <c r="L50" s="17" t="n">
        <v>0.5</v>
      </c>
      <c r="M50" s="15" t="s">
        <v>116</v>
      </c>
      <c r="N50" s="7"/>
      <c r="O50" s="22" t="s">
        <v>68</v>
      </c>
      <c r="P50" s="7"/>
    </row>
    <row r="51" customFormat="false" ht="87" hidden="false" customHeight="true" outlineLevel="0" collapsed="false">
      <c r="A51" s="15" t="n">
        <v>47</v>
      </c>
      <c r="B51" s="15" t="s">
        <v>440</v>
      </c>
      <c r="C51" s="5" t="s">
        <v>441</v>
      </c>
      <c r="D51" s="6" t="s">
        <v>428</v>
      </c>
      <c r="E51" s="15" t="s">
        <v>442</v>
      </c>
      <c r="F51" s="6" t="s">
        <v>180</v>
      </c>
      <c r="G51" s="6" t="s">
        <v>443</v>
      </c>
      <c r="H51" s="6" t="s">
        <v>444</v>
      </c>
      <c r="I51" s="6" t="s">
        <v>148</v>
      </c>
      <c r="J51" s="6" t="s">
        <v>445</v>
      </c>
      <c r="K51" s="15" t="s">
        <v>446</v>
      </c>
      <c r="L51" s="17" t="n">
        <v>1</v>
      </c>
      <c r="M51" s="15" t="s">
        <v>116</v>
      </c>
      <c r="N51" s="7"/>
      <c r="O51" s="22" t="s">
        <v>68</v>
      </c>
      <c r="P51" s="7"/>
    </row>
    <row r="52" customFormat="false" ht="100.5" hidden="false" customHeight="true" outlineLevel="0" collapsed="false">
      <c r="A52" s="15" t="n">
        <v>48</v>
      </c>
      <c r="B52" s="15" t="s">
        <v>447</v>
      </c>
      <c r="C52" s="5" t="s">
        <v>448</v>
      </c>
      <c r="D52" s="6" t="s">
        <v>449</v>
      </c>
      <c r="E52" s="15" t="s">
        <v>450</v>
      </c>
      <c r="F52" s="6" t="s">
        <v>180</v>
      </c>
      <c r="G52" s="6" t="s">
        <v>451</v>
      </c>
      <c r="H52" s="6" t="s">
        <v>452</v>
      </c>
      <c r="I52" s="6" t="s">
        <v>453</v>
      </c>
      <c r="J52" s="6" t="s">
        <v>265</v>
      </c>
      <c r="K52" s="15" t="s">
        <v>166</v>
      </c>
      <c r="L52" s="17" t="n">
        <v>3</v>
      </c>
      <c r="M52" s="15" t="s">
        <v>116</v>
      </c>
      <c r="N52" s="7"/>
      <c r="O52" s="22" t="s">
        <v>68</v>
      </c>
      <c r="P52" s="7"/>
    </row>
    <row r="53" customFormat="false" ht="73.5" hidden="false" customHeight="true" outlineLevel="0" collapsed="false">
      <c r="A53" s="15" t="n">
        <v>49</v>
      </c>
      <c r="B53" s="15" t="s">
        <v>454</v>
      </c>
      <c r="C53" s="5" t="s">
        <v>455</v>
      </c>
      <c r="D53" s="6" t="s">
        <v>449</v>
      </c>
      <c r="E53" s="15" t="s">
        <v>456</v>
      </c>
      <c r="F53" s="6" t="s">
        <v>180</v>
      </c>
      <c r="G53" s="6" t="s">
        <v>457</v>
      </c>
      <c r="H53" s="6" t="s">
        <v>458</v>
      </c>
      <c r="I53" s="6" t="s">
        <v>459</v>
      </c>
      <c r="J53" s="6" t="s">
        <v>460</v>
      </c>
      <c r="K53" s="15" t="s">
        <v>166</v>
      </c>
      <c r="L53" s="17" t="n">
        <v>2</v>
      </c>
      <c r="M53" s="15" t="s">
        <v>116</v>
      </c>
      <c r="N53" s="7"/>
      <c r="O53" s="22" t="s">
        <v>68</v>
      </c>
      <c r="P53" s="7"/>
    </row>
    <row r="54" customFormat="false" ht="60" hidden="false" customHeight="true" outlineLevel="0" collapsed="false">
      <c r="A54" s="15" t="n">
        <v>50</v>
      </c>
      <c r="B54" s="15" t="s">
        <v>461</v>
      </c>
      <c r="C54" s="5" t="s">
        <v>462</v>
      </c>
      <c r="D54" s="6" t="s">
        <v>245</v>
      </c>
      <c r="E54" s="15" t="s">
        <v>463</v>
      </c>
      <c r="F54" s="6" t="s">
        <v>154</v>
      </c>
      <c r="G54" s="6" t="s">
        <v>464</v>
      </c>
      <c r="H54" s="6" t="s">
        <v>465</v>
      </c>
      <c r="I54" s="6" t="s">
        <v>466</v>
      </c>
      <c r="J54" s="6" t="s">
        <v>467</v>
      </c>
      <c r="K54" s="15" t="s">
        <v>468</v>
      </c>
      <c r="L54" s="17" t="n">
        <v>3</v>
      </c>
      <c r="M54" s="15" t="s">
        <v>116</v>
      </c>
      <c r="N54" s="7"/>
      <c r="O54" s="22" t="s">
        <v>68</v>
      </c>
      <c r="P54" s="7"/>
    </row>
    <row r="55" customFormat="false" ht="60" hidden="false" customHeight="true" outlineLevel="0" collapsed="false">
      <c r="A55" s="15" t="n">
        <v>51</v>
      </c>
      <c r="B55" s="15" t="s">
        <v>469</v>
      </c>
      <c r="C55" s="5" t="s">
        <v>470</v>
      </c>
      <c r="D55" s="6" t="s">
        <v>335</v>
      </c>
      <c r="E55" s="15" t="s">
        <v>471</v>
      </c>
      <c r="F55" s="6" t="s">
        <v>180</v>
      </c>
      <c r="G55" s="6" t="s">
        <v>472</v>
      </c>
      <c r="H55" s="6" t="s">
        <v>473</v>
      </c>
      <c r="I55" s="6" t="s">
        <v>474</v>
      </c>
      <c r="J55" s="6" t="s">
        <v>475</v>
      </c>
      <c r="K55" s="15" t="s">
        <v>476</v>
      </c>
      <c r="L55" s="17" t="n">
        <v>1.5</v>
      </c>
      <c r="M55" s="15" t="s">
        <v>116</v>
      </c>
      <c r="N55" s="7"/>
      <c r="O55" s="22" t="s">
        <v>68</v>
      </c>
      <c r="P55" s="7"/>
    </row>
    <row r="56" customFormat="false" ht="60" hidden="false" customHeight="true" outlineLevel="0" collapsed="false">
      <c r="A56" s="15" t="n">
        <v>52</v>
      </c>
      <c r="B56" s="15" t="s">
        <v>477</v>
      </c>
      <c r="C56" s="5" t="s">
        <v>478</v>
      </c>
      <c r="D56" s="6" t="s">
        <v>449</v>
      </c>
      <c r="E56" s="15" t="s">
        <v>479</v>
      </c>
      <c r="F56" s="6" t="s">
        <v>180</v>
      </c>
      <c r="G56" s="6" t="s">
        <v>480</v>
      </c>
      <c r="H56" s="6" t="s">
        <v>481</v>
      </c>
      <c r="I56" s="6" t="s">
        <v>148</v>
      </c>
      <c r="J56" s="6" t="s">
        <v>469</v>
      </c>
      <c r="K56" s="15" t="s">
        <v>476</v>
      </c>
      <c r="L56" s="17" t="n">
        <v>1</v>
      </c>
      <c r="M56" s="15" t="s">
        <v>116</v>
      </c>
      <c r="N56" s="7"/>
      <c r="O56" s="22" t="s">
        <v>68</v>
      </c>
      <c r="P56" s="7"/>
    </row>
    <row r="57" customFormat="false" ht="33" hidden="false" customHeight="true" outlineLevel="0" collapsed="false">
      <c r="A57" s="15" t="n">
        <v>53</v>
      </c>
      <c r="B57" s="15" t="s">
        <v>482</v>
      </c>
      <c r="C57" s="5" t="s">
        <v>483</v>
      </c>
      <c r="D57" s="6" t="s">
        <v>245</v>
      </c>
      <c r="E57" s="15" t="s">
        <v>484</v>
      </c>
      <c r="F57" s="6" t="s">
        <v>154</v>
      </c>
      <c r="G57" s="6" t="s">
        <v>485</v>
      </c>
      <c r="H57" s="6" t="s">
        <v>486</v>
      </c>
      <c r="I57" s="6" t="s">
        <v>487</v>
      </c>
      <c r="J57" s="6" t="s">
        <v>488</v>
      </c>
      <c r="K57" s="15" t="s">
        <v>476</v>
      </c>
      <c r="L57" s="17" t="n">
        <v>0.5</v>
      </c>
      <c r="M57" s="15" t="s">
        <v>116</v>
      </c>
      <c r="N57" s="7"/>
      <c r="O57" s="22" t="s">
        <v>68</v>
      </c>
      <c r="P57" s="7"/>
    </row>
    <row r="58" customFormat="false" ht="60" hidden="false" customHeight="true" outlineLevel="0" collapsed="false">
      <c r="A58" s="15" t="n">
        <v>54</v>
      </c>
      <c r="B58" s="15" t="s">
        <v>489</v>
      </c>
      <c r="C58" s="5" t="s">
        <v>490</v>
      </c>
      <c r="D58" s="6" t="s">
        <v>491</v>
      </c>
      <c r="E58" s="15" t="s">
        <v>492</v>
      </c>
      <c r="F58" s="6" t="s">
        <v>493</v>
      </c>
      <c r="G58" s="6" t="s">
        <v>494</v>
      </c>
      <c r="H58" s="6" t="s">
        <v>495</v>
      </c>
      <c r="I58" s="6" t="s">
        <v>197</v>
      </c>
      <c r="J58" s="6" t="s">
        <v>496</v>
      </c>
      <c r="K58" s="15" t="s">
        <v>497</v>
      </c>
      <c r="L58" s="17" t="n">
        <v>2</v>
      </c>
      <c r="M58" s="15" t="s">
        <v>116</v>
      </c>
      <c r="N58" s="7"/>
      <c r="O58" s="22" t="s">
        <v>68</v>
      </c>
      <c r="P58" s="7"/>
    </row>
    <row r="59" customFormat="false" ht="46.5" hidden="false" customHeight="true" outlineLevel="0" collapsed="false">
      <c r="A59" s="15" t="n">
        <v>55</v>
      </c>
      <c r="B59" s="15" t="s">
        <v>498</v>
      </c>
      <c r="C59" s="5" t="s">
        <v>499</v>
      </c>
      <c r="D59" s="6" t="s">
        <v>491</v>
      </c>
      <c r="E59" s="15" t="s">
        <v>500</v>
      </c>
      <c r="F59" s="6" t="s">
        <v>493</v>
      </c>
      <c r="G59" s="6" t="s">
        <v>501</v>
      </c>
      <c r="H59" s="6" t="s">
        <v>502</v>
      </c>
      <c r="I59" s="6" t="s">
        <v>503</v>
      </c>
      <c r="J59" s="6" t="s">
        <v>504</v>
      </c>
      <c r="K59" s="15" t="s">
        <v>505</v>
      </c>
      <c r="L59" s="17" t="n">
        <v>3</v>
      </c>
      <c r="M59" s="15" t="s">
        <v>116</v>
      </c>
      <c r="N59" s="7"/>
      <c r="O59" s="22" t="s">
        <v>68</v>
      </c>
      <c r="P59" s="7"/>
    </row>
    <row r="60" customFormat="false" ht="46.5" hidden="false" customHeight="true" outlineLevel="0" collapsed="false">
      <c r="A60" s="15" t="n">
        <v>56</v>
      </c>
      <c r="B60" s="15" t="s">
        <v>506</v>
      </c>
      <c r="C60" s="5" t="s">
        <v>507</v>
      </c>
      <c r="D60" s="6" t="s">
        <v>491</v>
      </c>
      <c r="E60" s="15" t="s">
        <v>508</v>
      </c>
      <c r="F60" s="6" t="s">
        <v>493</v>
      </c>
      <c r="G60" s="6" t="s">
        <v>509</v>
      </c>
      <c r="H60" s="6" t="s">
        <v>510</v>
      </c>
      <c r="I60" s="6" t="s">
        <v>346</v>
      </c>
      <c r="J60" s="6" t="s">
        <v>511</v>
      </c>
      <c r="K60" s="15" t="s">
        <v>512</v>
      </c>
      <c r="L60" s="17" t="n">
        <v>3</v>
      </c>
      <c r="M60" s="15" t="s">
        <v>116</v>
      </c>
      <c r="N60" s="7"/>
      <c r="O60" s="22" t="s">
        <v>68</v>
      </c>
      <c r="P60" s="7"/>
    </row>
    <row r="61" customFormat="false" ht="60" hidden="false" customHeight="true" outlineLevel="0" collapsed="false">
      <c r="A61" s="15" t="n">
        <v>57</v>
      </c>
      <c r="B61" s="15" t="s">
        <v>513</v>
      </c>
      <c r="C61" s="5" t="s">
        <v>514</v>
      </c>
      <c r="D61" s="6" t="s">
        <v>515</v>
      </c>
      <c r="E61" s="15" t="s">
        <v>516</v>
      </c>
      <c r="F61" s="6" t="s">
        <v>180</v>
      </c>
      <c r="G61" s="6" t="s">
        <v>517</v>
      </c>
      <c r="H61" s="6" t="s">
        <v>518</v>
      </c>
      <c r="I61" s="6" t="s">
        <v>389</v>
      </c>
      <c r="J61" s="6" t="s">
        <v>519</v>
      </c>
      <c r="K61" s="15" t="s">
        <v>520</v>
      </c>
      <c r="L61" s="17" t="n">
        <v>2</v>
      </c>
      <c r="M61" s="15" t="s">
        <v>120</v>
      </c>
      <c r="N61" s="7"/>
      <c r="O61" s="22" t="s">
        <v>68</v>
      </c>
      <c r="P61" s="7"/>
    </row>
    <row r="62" customFormat="false" ht="100.5" hidden="false" customHeight="true" outlineLevel="0" collapsed="false">
      <c r="A62" s="15" t="n">
        <v>58</v>
      </c>
      <c r="B62" s="15" t="s">
        <v>519</v>
      </c>
      <c r="C62" s="5" t="s">
        <v>521</v>
      </c>
      <c r="D62" s="6" t="s">
        <v>522</v>
      </c>
      <c r="E62" s="15" t="s">
        <v>523</v>
      </c>
      <c r="F62" s="6" t="s">
        <v>180</v>
      </c>
      <c r="G62" s="6" t="s">
        <v>524</v>
      </c>
      <c r="H62" s="6" t="s">
        <v>525</v>
      </c>
      <c r="I62" s="6" t="s">
        <v>526</v>
      </c>
      <c r="J62" s="6" t="s">
        <v>527</v>
      </c>
      <c r="K62" s="15" t="s">
        <v>520</v>
      </c>
      <c r="L62" s="17" t="n">
        <v>4</v>
      </c>
      <c r="M62" s="15" t="s">
        <v>120</v>
      </c>
      <c r="N62" s="7"/>
      <c r="O62" s="22" t="s">
        <v>68</v>
      </c>
      <c r="P62" s="7"/>
    </row>
    <row r="63" customFormat="false" ht="60" hidden="false" customHeight="true" outlineLevel="0" collapsed="false">
      <c r="A63" s="15" t="n">
        <v>59</v>
      </c>
      <c r="B63" s="15" t="s">
        <v>528</v>
      </c>
      <c r="C63" s="5" t="s">
        <v>529</v>
      </c>
      <c r="D63" s="6" t="s">
        <v>522</v>
      </c>
      <c r="E63" s="15" t="s">
        <v>523</v>
      </c>
      <c r="F63" s="6" t="s">
        <v>180</v>
      </c>
      <c r="G63" s="6" t="s">
        <v>530</v>
      </c>
      <c r="H63" s="6" t="s">
        <v>531</v>
      </c>
      <c r="I63" s="6" t="s">
        <v>389</v>
      </c>
      <c r="J63" s="6" t="s">
        <v>519</v>
      </c>
      <c r="K63" s="15" t="s">
        <v>532</v>
      </c>
      <c r="L63" s="17" t="n">
        <v>3</v>
      </c>
      <c r="M63" s="15" t="s">
        <v>120</v>
      </c>
      <c r="N63" s="7"/>
      <c r="O63" s="22" t="s">
        <v>68</v>
      </c>
      <c r="P63" s="7"/>
    </row>
    <row r="64" customFormat="false" ht="73.5" hidden="false" customHeight="true" outlineLevel="0" collapsed="false">
      <c r="A64" s="15" t="n">
        <v>60</v>
      </c>
      <c r="B64" s="15" t="s">
        <v>533</v>
      </c>
      <c r="C64" s="5" t="s">
        <v>534</v>
      </c>
      <c r="D64" s="6" t="s">
        <v>522</v>
      </c>
      <c r="E64" s="15" t="s">
        <v>535</v>
      </c>
      <c r="F64" s="6" t="s">
        <v>180</v>
      </c>
      <c r="G64" s="6" t="s">
        <v>536</v>
      </c>
      <c r="H64" s="6" t="s">
        <v>537</v>
      </c>
      <c r="I64" s="6" t="s">
        <v>211</v>
      </c>
      <c r="J64" s="6" t="s">
        <v>538</v>
      </c>
      <c r="K64" s="15" t="s">
        <v>532</v>
      </c>
      <c r="L64" s="17" t="n">
        <v>2</v>
      </c>
      <c r="M64" s="15" t="s">
        <v>120</v>
      </c>
      <c r="N64" s="7"/>
      <c r="O64" s="22" t="s">
        <v>68</v>
      </c>
      <c r="P64" s="7"/>
    </row>
    <row r="65" customFormat="false" ht="60" hidden="false" customHeight="true" outlineLevel="0" collapsed="false">
      <c r="A65" s="15" t="n">
        <v>61</v>
      </c>
      <c r="B65" s="15" t="s">
        <v>539</v>
      </c>
      <c r="C65" s="5" t="s">
        <v>540</v>
      </c>
      <c r="D65" s="6" t="s">
        <v>522</v>
      </c>
      <c r="E65" s="15" t="s">
        <v>535</v>
      </c>
      <c r="F65" s="6" t="s">
        <v>180</v>
      </c>
      <c r="G65" s="6" t="s">
        <v>541</v>
      </c>
      <c r="H65" s="6" t="s">
        <v>542</v>
      </c>
      <c r="I65" s="6" t="s">
        <v>148</v>
      </c>
      <c r="J65" s="6" t="s">
        <v>543</v>
      </c>
      <c r="K65" s="15" t="s">
        <v>544</v>
      </c>
      <c r="L65" s="17" t="n">
        <v>5</v>
      </c>
      <c r="M65" s="15" t="s">
        <v>120</v>
      </c>
      <c r="N65" s="7"/>
      <c r="O65" s="22" t="s">
        <v>68</v>
      </c>
      <c r="P65" s="7"/>
    </row>
    <row r="66" customFormat="false" ht="46.5" hidden="false" customHeight="true" outlineLevel="0" collapsed="false">
      <c r="A66" s="15" t="n">
        <v>62</v>
      </c>
      <c r="B66" s="15" t="s">
        <v>545</v>
      </c>
      <c r="C66" s="5" t="s">
        <v>546</v>
      </c>
      <c r="D66" s="6" t="s">
        <v>245</v>
      </c>
      <c r="E66" s="15" t="s">
        <v>547</v>
      </c>
      <c r="F66" s="6" t="s">
        <v>154</v>
      </c>
      <c r="G66" s="6" t="s">
        <v>548</v>
      </c>
      <c r="H66" s="6" t="s">
        <v>549</v>
      </c>
      <c r="I66" s="6" t="s">
        <v>550</v>
      </c>
      <c r="J66" s="6" t="s">
        <v>551</v>
      </c>
      <c r="K66" s="15" t="s">
        <v>552</v>
      </c>
      <c r="L66" s="17" t="n">
        <v>2</v>
      </c>
      <c r="M66" s="15" t="s">
        <v>120</v>
      </c>
      <c r="N66" s="7"/>
      <c r="O66" s="22" t="s">
        <v>68</v>
      </c>
      <c r="P66" s="7"/>
    </row>
    <row r="67" customFormat="false" ht="46.5" hidden="false" customHeight="true" outlineLevel="0" collapsed="false">
      <c r="A67" s="15" t="n">
        <v>63</v>
      </c>
      <c r="B67" s="15" t="s">
        <v>553</v>
      </c>
      <c r="C67" s="5" t="s">
        <v>554</v>
      </c>
      <c r="D67" s="6" t="s">
        <v>245</v>
      </c>
      <c r="E67" s="15" t="s">
        <v>555</v>
      </c>
      <c r="F67" s="6" t="s">
        <v>154</v>
      </c>
      <c r="G67" s="6" t="s">
        <v>556</v>
      </c>
      <c r="H67" s="6" t="s">
        <v>557</v>
      </c>
      <c r="I67" s="6" t="s">
        <v>550</v>
      </c>
      <c r="J67" s="6" t="s">
        <v>545</v>
      </c>
      <c r="K67" s="15" t="s">
        <v>552</v>
      </c>
      <c r="L67" s="17" t="n">
        <v>1.5</v>
      </c>
      <c r="M67" s="15" t="s">
        <v>120</v>
      </c>
      <c r="N67" s="7"/>
      <c r="O67" s="22" t="s">
        <v>68</v>
      </c>
      <c r="P67" s="7"/>
    </row>
    <row r="68" customFormat="false" ht="73.5" hidden="false" customHeight="true" outlineLevel="0" collapsed="false">
      <c r="A68" s="15" t="n">
        <v>64</v>
      </c>
      <c r="B68" s="15" t="s">
        <v>558</v>
      </c>
      <c r="C68" s="5" t="s">
        <v>559</v>
      </c>
      <c r="D68" s="6" t="s">
        <v>392</v>
      </c>
      <c r="E68" s="15" t="s">
        <v>560</v>
      </c>
      <c r="F68" s="6" t="s">
        <v>158</v>
      </c>
      <c r="G68" s="6" t="s">
        <v>561</v>
      </c>
      <c r="H68" s="6" t="s">
        <v>562</v>
      </c>
      <c r="I68" s="6" t="s">
        <v>563</v>
      </c>
      <c r="J68" s="6" t="s">
        <v>564</v>
      </c>
      <c r="K68" s="15" t="s">
        <v>552</v>
      </c>
      <c r="L68" s="17" t="n">
        <v>1.5</v>
      </c>
      <c r="M68" s="15" t="s">
        <v>120</v>
      </c>
      <c r="N68" s="7"/>
      <c r="O68" s="22" t="s">
        <v>68</v>
      </c>
      <c r="P68" s="7"/>
    </row>
    <row r="69" customFormat="false" ht="60" hidden="false" customHeight="true" outlineLevel="0" collapsed="false">
      <c r="A69" s="15" t="n">
        <v>65</v>
      </c>
      <c r="B69" s="15" t="s">
        <v>565</v>
      </c>
      <c r="C69" s="5" t="s">
        <v>566</v>
      </c>
      <c r="D69" s="6" t="s">
        <v>567</v>
      </c>
      <c r="E69" s="15" t="s">
        <v>568</v>
      </c>
      <c r="F69" s="6" t="s">
        <v>154</v>
      </c>
      <c r="G69" s="6" t="s">
        <v>569</v>
      </c>
      <c r="H69" s="6" t="s">
        <v>562</v>
      </c>
      <c r="I69" s="6" t="s">
        <v>570</v>
      </c>
      <c r="J69" s="6" t="s">
        <v>545</v>
      </c>
      <c r="K69" s="15" t="s">
        <v>571</v>
      </c>
      <c r="L69" s="17" t="n">
        <v>2</v>
      </c>
      <c r="M69" s="15" t="s">
        <v>120</v>
      </c>
      <c r="N69" s="7"/>
      <c r="O69" s="22" t="s">
        <v>68</v>
      </c>
      <c r="P69" s="7"/>
    </row>
    <row r="70" customFormat="false" ht="46.5" hidden="false" customHeight="true" outlineLevel="0" collapsed="false">
      <c r="A70" s="15" t="n">
        <v>66</v>
      </c>
      <c r="B70" s="15" t="s">
        <v>572</v>
      </c>
      <c r="C70" s="5" t="s">
        <v>573</v>
      </c>
      <c r="D70" s="6" t="s">
        <v>567</v>
      </c>
      <c r="E70" s="15" t="s">
        <v>560</v>
      </c>
      <c r="F70" s="6" t="s">
        <v>154</v>
      </c>
      <c r="G70" s="6" t="s">
        <v>574</v>
      </c>
      <c r="H70" s="6" t="s">
        <v>562</v>
      </c>
      <c r="I70" s="6" t="s">
        <v>563</v>
      </c>
      <c r="J70" s="6" t="s">
        <v>575</v>
      </c>
      <c r="K70" s="15" t="s">
        <v>571</v>
      </c>
      <c r="L70" s="17" t="n">
        <v>1</v>
      </c>
      <c r="M70" s="15" t="s">
        <v>120</v>
      </c>
      <c r="N70" s="7"/>
      <c r="O70" s="22" t="s">
        <v>68</v>
      </c>
      <c r="P70" s="7"/>
    </row>
    <row r="71" customFormat="false" ht="46.5" hidden="false" customHeight="true" outlineLevel="0" collapsed="false">
      <c r="A71" s="15" t="n">
        <v>67</v>
      </c>
      <c r="B71" s="15" t="s">
        <v>576</v>
      </c>
      <c r="C71" s="5" t="s">
        <v>577</v>
      </c>
      <c r="D71" s="6" t="s">
        <v>491</v>
      </c>
      <c r="E71" s="15" t="s">
        <v>578</v>
      </c>
      <c r="F71" s="6" t="s">
        <v>493</v>
      </c>
      <c r="G71" s="6" t="s">
        <v>579</v>
      </c>
      <c r="H71" s="6" t="s">
        <v>580</v>
      </c>
      <c r="I71" s="6" t="s">
        <v>581</v>
      </c>
      <c r="J71" s="6" t="s">
        <v>582</v>
      </c>
      <c r="K71" s="15" t="s">
        <v>505</v>
      </c>
      <c r="L71" s="17" t="n">
        <v>4</v>
      </c>
      <c r="M71" s="15" t="s">
        <v>120</v>
      </c>
      <c r="N71" s="7"/>
      <c r="O71" s="22" t="s">
        <v>68</v>
      </c>
      <c r="P71" s="7"/>
    </row>
    <row r="72" customFormat="false" ht="33" hidden="false" customHeight="true" outlineLevel="0" collapsed="false">
      <c r="A72" s="15" t="n">
        <v>68</v>
      </c>
      <c r="B72" s="15" t="s">
        <v>583</v>
      </c>
      <c r="C72" s="5" t="s">
        <v>584</v>
      </c>
      <c r="D72" s="6" t="s">
        <v>491</v>
      </c>
      <c r="E72" s="15" t="s">
        <v>585</v>
      </c>
      <c r="F72" s="6" t="s">
        <v>586</v>
      </c>
      <c r="G72" s="6" t="s">
        <v>587</v>
      </c>
      <c r="H72" s="6" t="s">
        <v>148</v>
      </c>
      <c r="I72" s="6" t="s">
        <v>148</v>
      </c>
      <c r="J72" s="6" t="s">
        <v>588</v>
      </c>
      <c r="K72" s="15" t="s">
        <v>497</v>
      </c>
      <c r="L72" s="17" t="n">
        <v>1.5</v>
      </c>
      <c r="M72" s="15" t="s">
        <v>120</v>
      </c>
      <c r="N72" s="7"/>
      <c r="O72" s="22" t="s">
        <v>68</v>
      </c>
      <c r="P72" s="7"/>
    </row>
    <row r="73" customFormat="false" ht="33" hidden="false" customHeight="true" outlineLevel="0" collapsed="false">
      <c r="A73" s="15" t="n">
        <v>69</v>
      </c>
      <c r="B73" s="15" t="s">
        <v>589</v>
      </c>
      <c r="C73" s="5" t="s">
        <v>590</v>
      </c>
      <c r="D73" s="6" t="s">
        <v>491</v>
      </c>
      <c r="E73" s="15" t="s">
        <v>591</v>
      </c>
      <c r="F73" s="6" t="s">
        <v>493</v>
      </c>
      <c r="G73" s="6" t="s">
        <v>592</v>
      </c>
      <c r="H73" s="6" t="s">
        <v>593</v>
      </c>
      <c r="I73" s="6" t="s">
        <v>563</v>
      </c>
      <c r="J73" s="6" t="s">
        <v>594</v>
      </c>
      <c r="K73" s="15" t="s">
        <v>497</v>
      </c>
      <c r="L73" s="17" t="n">
        <v>1.5</v>
      </c>
      <c r="M73" s="15" t="s">
        <v>120</v>
      </c>
      <c r="N73" s="7"/>
      <c r="O73" s="22" t="s">
        <v>68</v>
      </c>
      <c r="P73" s="7"/>
    </row>
    <row r="74" customFormat="false" ht="33" hidden="false" customHeight="true" outlineLevel="0" collapsed="false">
      <c r="A74" s="15" t="n">
        <v>70</v>
      </c>
      <c r="B74" s="15" t="s">
        <v>595</v>
      </c>
      <c r="C74" s="5" t="s">
        <v>596</v>
      </c>
      <c r="D74" s="6" t="s">
        <v>491</v>
      </c>
      <c r="E74" s="15" t="s">
        <v>597</v>
      </c>
      <c r="F74" s="6" t="s">
        <v>493</v>
      </c>
      <c r="G74" s="6" t="s">
        <v>598</v>
      </c>
      <c r="H74" s="6" t="s">
        <v>599</v>
      </c>
      <c r="I74" s="6" t="s">
        <v>389</v>
      </c>
      <c r="J74" s="6" t="s">
        <v>600</v>
      </c>
      <c r="K74" s="15" t="s">
        <v>512</v>
      </c>
      <c r="L74" s="17" t="n">
        <v>2</v>
      </c>
      <c r="M74" s="15" t="s">
        <v>124</v>
      </c>
      <c r="N74" s="7"/>
      <c r="O74" s="22" t="s">
        <v>68</v>
      </c>
      <c r="P74" s="7"/>
    </row>
    <row r="75" customFormat="false" ht="46.5" hidden="false" customHeight="true" outlineLevel="0" collapsed="false">
      <c r="A75" s="15" t="n">
        <v>71</v>
      </c>
      <c r="B75" s="15" t="s">
        <v>601</v>
      </c>
      <c r="C75" s="5" t="s">
        <v>602</v>
      </c>
      <c r="D75" s="6" t="s">
        <v>491</v>
      </c>
      <c r="E75" s="15" t="s">
        <v>603</v>
      </c>
      <c r="F75" s="6" t="s">
        <v>493</v>
      </c>
      <c r="G75" s="6" t="s">
        <v>604</v>
      </c>
      <c r="H75" s="6" t="s">
        <v>605</v>
      </c>
      <c r="I75" s="6" t="s">
        <v>204</v>
      </c>
      <c r="J75" s="6" t="s">
        <v>606</v>
      </c>
      <c r="K75" s="15" t="s">
        <v>512</v>
      </c>
      <c r="L75" s="17" t="n">
        <v>2</v>
      </c>
      <c r="M75" s="15" t="s">
        <v>124</v>
      </c>
      <c r="N75" s="7"/>
      <c r="O75" s="22" t="s">
        <v>68</v>
      </c>
      <c r="P75" s="7"/>
    </row>
    <row r="76" customFormat="false" ht="15" hidden="false" customHeight="false" outlineLevel="0" collapsed="false">
      <c r="K76" s="9" t="s">
        <v>128</v>
      </c>
      <c r="L76" s="23" t="n">
        <f aca="false">SUM(L5:L75)</f>
        <v>100</v>
      </c>
    </row>
    <row r="77" customFormat="false" ht="15" hidden="false" customHeight="false" outlineLevel="0" collapsed="false">
      <c r="A77" s="21" t="s">
        <v>607</v>
      </c>
    </row>
  </sheetData>
  <autoFilter ref="A4:P75"/>
  <conditionalFormatting sqref="O5:O75">
    <cfRule type="cellIs" priority="2" operator="equal" aboveAverage="0" equalAverage="0" bottom="0" percent="0" rank="0" text="" dxfId="9">
      <formula>"Đang làm"</formula>
    </cfRule>
    <cfRule type="cellIs" priority="3" operator="equal" aboveAverage="0" equalAverage="0" bottom="0" percent="0" rank="0" text="" dxfId="10">
      <formula>"Chờ review"</formula>
    </cfRule>
    <cfRule type="cellIs" priority="4" operator="equal" aboveAverage="0" equalAverage="0" bottom="0" percent="0" rank="0" text="" dxfId="11">
      <formula>"Hoàn thành"</formula>
    </cfRule>
    <cfRule type="cellIs" priority="5" operator="equal" aboveAverage="0" equalAverage="0" bottom="0" percent="0" rank="0" text="" dxfId="12">
      <formula>"Bị chặn"</formula>
    </cfRule>
  </conditionalFormatting>
  <conditionalFormatting sqref="M5:M75">
    <cfRule type="cellIs" priority="6" operator="equal" aboveAverage="0" equalAverage="0" bottom="0" percent="0" rank="0" text="" dxfId="13">
      <formula>"S1"</formula>
    </cfRule>
    <cfRule type="cellIs" priority="7" operator="equal" aboveAverage="0" equalAverage="0" bottom="0" percent="0" rank="0" text="" dxfId="14">
      <formula>"S2"</formula>
    </cfRule>
    <cfRule type="cellIs" priority="8" operator="equal" aboveAverage="0" equalAverage="0" bottom="0" percent="0" rank="0" text="" dxfId="15">
      <formula>"S3"</formula>
    </cfRule>
    <cfRule type="cellIs" priority="9" operator="equal" aboveAverage="0" equalAverage="0" bottom="0" percent="0" rank="0" text="" dxfId="16">
      <formula>"S4"</formula>
    </cfRule>
    <cfRule type="cellIs" priority="10" operator="equal" aboveAverage="0" equalAverage="0" bottom="0" percent="0" rank="0" text="" dxfId="17">
      <formula>"S5"</formula>
    </cfRule>
  </conditionalFormatting>
  <dataValidations count="2">
    <dataValidation allowBlank="false" errorStyle="stop" operator="between" showDropDown="false" showErrorMessage="false" showInputMessage="false" sqref="M5:M75" type="list">
      <formula1>"S1,S2,S3,S4,S5"</formula1>
      <formula2>0</formula2>
    </dataValidation>
    <dataValidation allowBlank="false" errorStyle="stop" operator="between" showDropDown="false" showErrorMessage="false" showInputMessage="false" sqref="O5:O75" type="list">
      <formula1>"Chưa làm,Đang làm,Chờ review,Hoàn thành,Bị chặn"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3" min="3" style="0" width="16"/>
    <col collapsed="false" customWidth="true" hidden="false" outlineLevel="0" max="4" min="4" style="0" width="18"/>
    <col collapsed="false" customWidth="true" hidden="false" outlineLevel="0" max="6" min="5" style="0" width="12"/>
  </cols>
  <sheetData>
    <row r="1" customFormat="false" ht="17.35" hidden="false" customHeight="false" outlineLevel="0" collapsed="false">
      <c r="A1" s="12" t="s">
        <v>608</v>
      </c>
    </row>
    <row r="2" customFormat="false" ht="15" hidden="false" customHeight="false" outlineLevel="0" collapsed="false">
      <c r="A2" s="2" t="s">
        <v>609</v>
      </c>
    </row>
    <row r="4" customFormat="false" ht="30" hidden="false" customHeight="true" outlineLevel="0" collapsed="false">
      <c r="A4" s="13" t="s">
        <v>610</v>
      </c>
      <c r="B4" s="13" t="s">
        <v>611</v>
      </c>
      <c r="C4" s="13" t="s">
        <v>612</v>
      </c>
      <c r="D4" s="13" t="s">
        <v>613</v>
      </c>
      <c r="E4" s="13" t="s">
        <v>614</v>
      </c>
      <c r="F4" s="13" t="s">
        <v>103</v>
      </c>
    </row>
    <row r="5" customFormat="false" ht="15" hidden="false" customHeight="false" outlineLevel="0" collapsed="false">
      <c r="A5" s="24" t="s">
        <v>615</v>
      </c>
      <c r="B5" s="25" t="s">
        <v>616</v>
      </c>
      <c r="C5" s="26" t="n">
        <f aca="false">SUM(C6:C8)</f>
        <v>8</v>
      </c>
      <c r="D5" s="26" t="n">
        <f aca="false">SUM(D6:D8)</f>
        <v>8</v>
      </c>
      <c r="E5" s="26" t="n">
        <f aca="false">D5-C5</f>
        <v>0</v>
      </c>
      <c r="F5" s="24" t="n">
        <f aca="false">SUM(F6:F8)</f>
        <v>16</v>
      </c>
    </row>
    <row r="6" customFormat="false" ht="15" hidden="false" customHeight="false" outlineLevel="0" collapsed="false">
      <c r="A6" s="15" t="s">
        <v>185</v>
      </c>
      <c r="B6" s="6" t="s">
        <v>617</v>
      </c>
      <c r="C6" s="27" t="n">
        <v>2</v>
      </c>
      <c r="D6" s="28" t="n">
        <f aca="false">SUMIF('Product Backlog'!$K$5:$K$75,A6,'Product Backlog'!$L$5:$L$75)</f>
        <v>2</v>
      </c>
      <c r="E6" s="28" t="n">
        <f aca="false">D6-C6</f>
        <v>0</v>
      </c>
      <c r="F6" s="15" t="n">
        <f aca="false">COUNTIF('Product Backlog'!$K$5:$K$75,A6)</f>
        <v>3</v>
      </c>
    </row>
    <row r="7" customFormat="false" ht="15" hidden="false" customHeight="false" outlineLevel="0" collapsed="false">
      <c r="A7" s="15" t="s">
        <v>151</v>
      </c>
      <c r="B7" s="6" t="s">
        <v>618</v>
      </c>
      <c r="C7" s="27" t="n">
        <v>4</v>
      </c>
      <c r="D7" s="28" t="n">
        <f aca="false">SUMIF('Product Backlog'!$K$5:$K$75,A7,'Product Backlog'!$L$5:$L$75)</f>
        <v>4</v>
      </c>
      <c r="E7" s="28" t="n">
        <f aca="false">D7-C7</f>
        <v>0</v>
      </c>
      <c r="F7" s="15" t="n">
        <f aca="false">COUNTIF('Product Backlog'!$K$5:$K$75,A7)</f>
        <v>9</v>
      </c>
    </row>
    <row r="8" customFormat="false" ht="15" hidden="false" customHeight="false" outlineLevel="0" collapsed="false">
      <c r="A8" s="15" t="s">
        <v>225</v>
      </c>
      <c r="B8" s="6" t="s">
        <v>619</v>
      </c>
      <c r="C8" s="27" t="n">
        <v>2</v>
      </c>
      <c r="D8" s="28" t="n">
        <f aca="false">SUMIF('Product Backlog'!$K$5:$K$75,A8,'Product Backlog'!$L$5:$L$75)</f>
        <v>2</v>
      </c>
      <c r="E8" s="28" t="n">
        <f aca="false">D8-C8</f>
        <v>0</v>
      </c>
      <c r="F8" s="15" t="n">
        <f aca="false">COUNTIF('Product Backlog'!$K$5:$K$75,A8)</f>
        <v>4</v>
      </c>
    </row>
    <row r="9" customFormat="false" ht="15" hidden="false" customHeight="false" outlineLevel="0" collapsed="false">
      <c r="A9" s="24" t="s">
        <v>620</v>
      </c>
      <c r="B9" s="25" t="s">
        <v>621</v>
      </c>
      <c r="C9" s="26" t="n">
        <f aca="false">SUM(C10:C12)</f>
        <v>5</v>
      </c>
      <c r="D9" s="26" t="n">
        <f aca="false">SUM(D10:D12)</f>
        <v>5</v>
      </c>
      <c r="E9" s="26" t="n">
        <f aca="false">D9-C9</f>
        <v>0</v>
      </c>
      <c r="F9" s="24" t="n">
        <f aca="false">SUM(F10:F12)</f>
        <v>6</v>
      </c>
    </row>
    <row r="10" customFormat="false" ht="15" hidden="false" customHeight="false" outlineLevel="0" collapsed="false">
      <c r="A10" s="15" t="s">
        <v>258</v>
      </c>
      <c r="B10" s="6" t="s">
        <v>622</v>
      </c>
      <c r="C10" s="27" t="n">
        <v>2</v>
      </c>
      <c r="D10" s="28" t="n">
        <f aca="false">SUMIF('Product Backlog'!$K$5:$K$75,A10,'Product Backlog'!$L$5:$L$75)</f>
        <v>2</v>
      </c>
      <c r="E10" s="28" t="n">
        <f aca="false">D10-C10</f>
        <v>0</v>
      </c>
      <c r="F10" s="15" t="n">
        <f aca="false">COUNTIF('Product Backlog'!$K$5:$K$75,A10)</f>
        <v>2</v>
      </c>
    </row>
    <row r="11" customFormat="false" ht="15" hidden="false" customHeight="false" outlineLevel="0" collapsed="false">
      <c r="A11" s="15" t="s">
        <v>272</v>
      </c>
      <c r="B11" s="6" t="s">
        <v>623</v>
      </c>
      <c r="C11" s="27" t="n">
        <v>2</v>
      </c>
      <c r="D11" s="28" t="n">
        <f aca="false">SUMIF('Product Backlog'!$K$5:$K$75,A11,'Product Backlog'!$L$5:$L$75)</f>
        <v>2</v>
      </c>
      <c r="E11" s="28" t="n">
        <f aca="false">D11-C11</f>
        <v>0</v>
      </c>
      <c r="F11" s="15" t="n">
        <f aca="false">COUNTIF('Product Backlog'!$K$5:$K$75,A11)</f>
        <v>3</v>
      </c>
    </row>
    <row r="12" customFormat="false" ht="15" hidden="false" customHeight="false" outlineLevel="0" collapsed="false">
      <c r="A12" s="15" t="s">
        <v>446</v>
      </c>
      <c r="B12" s="6" t="s">
        <v>624</v>
      </c>
      <c r="C12" s="27" t="n">
        <v>1</v>
      </c>
      <c r="D12" s="28" t="n">
        <f aca="false">SUMIF('Product Backlog'!$K$5:$K$75,A12,'Product Backlog'!$L$5:$L$75)</f>
        <v>1</v>
      </c>
      <c r="E12" s="28" t="n">
        <f aca="false">D12-C12</f>
        <v>0</v>
      </c>
      <c r="F12" s="15" t="n">
        <f aca="false">COUNTIF('Product Backlog'!$K$5:$K$75,A12)</f>
        <v>1</v>
      </c>
    </row>
    <row r="13" customFormat="false" ht="15" hidden="false" customHeight="false" outlineLevel="0" collapsed="false">
      <c r="A13" s="24" t="s">
        <v>625</v>
      </c>
      <c r="B13" s="25" t="s">
        <v>626</v>
      </c>
      <c r="C13" s="26" t="n">
        <f aca="false">SUM(C14:C19)</f>
        <v>33</v>
      </c>
      <c r="D13" s="26" t="n">
        <f aca="false">SUM(D14:D19)</f>
        <v>33</v>
      </c>
      <c r="E13" s="26" t="n">
        <f aca="false">D13-C13</f>
        <v>0</v>
      </c>
      <c r="F13" s="24" t="n">
        <f aca="false">SUM(F14:F19)</f>
        <v>25</v>
      </c>
    </row>
    <row r="14" customFormat="false" ht="15" hidden="false" customHeight="false" outlineLevel="0" collapsed="false">
      <c r="A14" s="15" t="s">
        <v>279</v>
      </c>
      <c r="B14" s="6" t="s">
        <v>627</v>
      </c>
      <c r="C14" s="27" t="n">
        <v>5</v>
      </c>
      <c r="D14" s="28" t="n">
        <f aca="false">SUMIF('Product Backlog'!$K$5:$K$75,A14,'Product Backlog'!$L$5:$L$75)</f>
        <v>5</v>
      </c>
      <c r="E14" s="28" t="n">
        <f aca="false">D14-C14</f>
        <v>0</v>
      </c>
      <c r="F14" s="15" t="n">
        <f aca="false">COUNTIF('Product Backlog'!$K$5:$K$75,A14)</f>
        <v>5</v>
      </c>
    </row>
    <row r="15" customFormat="false" ht="15" hidden="false" customHeight="false" outlineLevel="0" collapsed="false">
      <c r="A15" s="15" t="s">
        <v>305</v>
      </c>
      <c r="B15" s="6" t="s">
        <v>628</v>
      </c>
      <c r="C15" s="27" t="n">
        <v>6</v>
      </c>
      <c r="D15" s="28" t="n">
        <f aca="false">SUMIF('Product Backlog'!$K$5:$K$75,A15,'Product Backlog'!$L$5:$L$75)</f>
        <v>6</v>
      </c>
      <c r="E15" s="28" t="n">
        <f aca="false">D15-C15</f>
        <v>0</v>
      </c>
      <c r="F15" s="15" t="n">
        <f aca="false">COUNTIF('Product Backlog'!$K$5:$K$75,A15)</f>
        <v>4</v>
      </c>
    </row>
    <row r="16" customFormat="false" ht="15" hidden="false" customHeight="false" outlineLevel="0" collapsed="false">
      <c r="A16" s="15" t="s">
        <v>326</v>
      </c>
      <c r="B16" s="6" t="s">
        <v>629</v>
      </c>
      <c r="C16" s="27" t="n">
        <v>5</v>
      </c>
      <c r="D16" s="28" t="n">
        <f aca="false">SUMIF('Product Backlog'!$K$5:$K$75,A16,'Product Backlog'!$L$5:$L$75)</f>
        <v>5</v>
      </c>
      <c r="E16" s="28" t="n">
        <f aca="false">D16-C16</f>
        <v>0</v>
      </c>
      <c r="F16" s="15" t="n">
        <f aca="false">COUNTIF('Product Backlog'!$K$5:$K$75,A16)</f>
        <v>5</v>
      </c>
    </row>
    <row r="17" customFormat="false" ht="15" hidden="false" customHeight="false" outlineLevel="0" collapsed="false">
      <c r="A17" s="15" t="s">
        <v>340</v>
      </c>
      <c r="B17" s="6" t="s">
        <v>630</v>
      </c>
      <c r="C17" s="27" t="n">
        <v>6</v>
      </c>
      <c r="D17" s="28" t="n">
        <f aca="false">SUMIF('Product Backlog'!$K$5:$K$75,A17,'Product Backlog'!$L$5:$L$75)</f>
        <v>6</v>
      </c>
      <c r="E17" s="28" t="n">
        <f aca="false">D17-C17</f>
        <v>0</v>
      </c>
      <c r="F17" s="15" t="n">
        <f aca="false">COUNTIF('Product Backlog'!$K$5:$K$75,A17)</f>
        <v>4</v>
      </c>
    </row>
    <row r="18" customFormat="false" ht="15" hidden="false" customHeight="false" outlineLevel="0" collapsed="false">
      <c r="A18" s="15" t="s">
        <v>249</v>
      </c>
      <c r="B18" s="6" t="s">
        <v>631</v>
      </c>
      <c r="C18" s="27" t="n">
        <v>5</v>
      </c>
      <c r="D18" s="28" t="n">
        <f aca="false">SUMIF('Product Backlog'!$K$5:$K$75,A18,'Product Backlog'!$L$5:$L$75)</f>
        <v>5</v>
      </c>
      <c r="E18" s="28" t="n">
        <f aca="false">D18-C18</f>
        <v>0</v>
      </c>
      <c r="F18" s="15" t="n">
        <f aca="false">COUNTIF('Product Backlog'!$K$5:$K$75,A18)</f>
        <v>4</v>
      </c>
    </row>
    <row r="19" customFormat="false" ht="15" hidden="false" customHeight="false" outlineLevel="0" collapsed="false">
      <c r="A19" s="15" t="s">
        <v>371</v>
      </c>
      <c r="B19" s="6" t="s">
        <v>632</v>
      </c>
      <c r="C19" s="27" t="n">
        <v>6</v>
      </c>
      <c r="D19" s="28" t="n">
        <f aca="false">SUMIF('Product Backlog'!$K$5:$K$75,A19,'Product Backlog'!$L$5:$L$75)</f>
        <v>6</v>
      </c>
      <c r="E19" s="28" t="n">
        <f aca="false">D19-C19</f>
        <v>0</v>
      </c>
      <c r="F19" s="15" t="n">
        <f aca="false">COUNTIF('Product Backlog'!$K$5:$K$75,A19)</f>
        <v>3</v>
      </c>
    </row>
    <row r="20" customFormat="false" ht="15" hidden="false" customHeight="false" outlineLevel="0" collapsed="false">
      <c r="A20" s="24" t="s">
        <v>633</v>
      </c>
      <c r="B20" s="25" t="s">
        <v>634</v>
      </c>
      <c r="C20" s="26" t="n">
        <f aca="false">SUM(C21:C23)</f>
        <v>11</v>
      </c>
      <c r="D20" s="26" t="n">
        <f aca="false">SUM(D21:D23)</f>
        <v>11</v>
      </c>
      <c r="E20" s="26" t="n">
        <f aca="false">D20-C20</f>
        <v>0</v>
      </c>
      <c r="F20" s="24" t="n">
        <f aca="false">SUM(F21:F23)</f>
        <v>6</v>
      </c>
    </row>
    <row r="21" customFormat="false" ht="15" hidden="false" customHeight="false" outlineLevel="0" collapsed="false">
      <c r="A21" s="15" t="s">
        <v>166</v>
      </c>
      <c r="B21" s="6" t="s">
        <v>635</v>
      </c>
      <c r="C21" s="27" t="n">
        <v>5</v>
      </c>
      <c r="D21" s="28" t="n">
        <f aca="false">SUMIF('Product Backlog'!$K$5:$K$75,A21,'Product Backlog'!$L$5:$L$75)</f>
        <v>5</v>
      </c>
      <c r="E21" s="28" t="n">
        <f aca="false">D21-C21</f>
        <v>0</v>
      </c>
      <c r="F21" s="15" t="n">
        <f aca="false">COUNTIF('Product Backlog'!$K$5:$K$75,A21)</f>
        <v>2</v>
      </c>
    </row>
    <row r="22" customFormat="false" ht="15" hidden="false" customHeight="false" outlineLevel="0" collapsed="false">
      <c r="A22" s="15" t="s">
        <v>468</v>
      </c>
      <c r="B22" s="6" t="s">
        <v>636</v>
      </c>
      <c r="C22" s="27" t="n">
        <v>3</v>
      </c>
      <c r="D22" s="28" t="n">
        <f aca="false">SUMIF('Product Backlog'!$K$5:$K$75,A22,'Product Backlog'!$L$5:$L$75)</f>
        <v>3</v>
      </c>
      <c r="E22" s="28" t="n">
        <f aca="false">D22-C22</f>
        <v>0</v>
      </c>
      <c r="F22" s="15" t="n">
        <f aca="false">COUNTIF('Product Backlog'!$K$5:$K$75,A22)</f>
        <v>1</v>
      </c>
    </row>
    <row r="23" customFormat="false" ht="15" hidden="false" customHeight="false" outlineLevel="0" collapsed="false">
      <c r="A23" s="15" t="s">
        <v>476</v>
      </c>
      <c r="B23" s="6" t="s">
        <v>637</v>
      </c>
      <c r="C23" s="27" t="n">
        <v>3</v>
      </c>
      <c r="D23" s="28" t="n">
        <f aca="false">SUMIF('Product Backlog'!$K$5:$K$75,A23,'Product Backlog'!$L$5:$L$75)</f>
        <v>3</v>
      </c>
      <c r="E23" s="28" t="n">
        <f aca="false">D23-C23</f>
        <v>0</v>
      </c>
      <c r="F23" s="15" t="n">
        <f aca="false">COUNTIF('Product Backlog'!$K$5:$K$75,A23)</f>
        <v>3</v>
      </c>
    </row>
    <row r="24" customFormat="false" ht="15" hidden="false" customHeight="false" outlineLevel="0" collapsed="false">
      <c r="A24" s="24" t="s">
        <v>638</v>
      </c>
      <c r="B24" s="25" t="s">
        <v>639</v>
      </c>
      <c r="C24" s="26" t="n">
        <f aca="false">SUM(C25:C27)</f>
        <v>16</v>
      </c>
      <c r="D24" s="26" t="n">
        <f aca="false">SUM(D25:D27)</f>
        <v>16</v>
      </c>
      <c r="E24" s="26" t="n">
        <f aca="false">D24-C24</f>
        <v>0</v>
      </c>
      <c r="F24" s="24" t="n">
        <f aca="false">SUM(F25:F27)</f>
        <v>5</v>
      </c>
    </row>
    <row r="25" customFormat="false" ht="15" hidden="false" customHeight="false" outlineLevel="0" collapsed="false">
      <c r="A25" s="15" t="s">
        <v>520</v>
      </c>
      <c r="B25" s="6" t="s">
        <v>640</v>
      </c>
      <c r="C25" s="27" t="n">
        <v>6</v>
      </c>
      <c r="D25" s="28" t="n">
        <f aca="false">SUMIF('Product Backlog'!$K$5:$K$75,A25,'Product Backlog'!$L$5:$L$75)</f>
        <v>6</v>
      </c>
      <c r="E25" s="28" t="n">
        <f aca="false">D25-C25</f>
        <v>0</v>
      </c>
      <c r="F25" s="15" t="n">
        <f aca="false">COUNTIF('Product Backlog'!$K$5:$K$75,A25)</f>
        <v>2</v>
      </c>
    </row>
    <row r="26" customFormat="false" ht="15" hidden="false" customHeight="false" outlineLevel="0" collapsed="false">
      <c r="A26" s="15" t="s">
        <v>532</v>
      </c>
      <c r="B26" s="6" t="s">
        <v>641</v>
      </c>
      <c r="C26" s="27" t="n">
        <v>5</v>
      </c>
      <c r="D26" s="28" t="n">
        <f aca="false">SUMIF('Product Backlog'!$K$5:$K$75,A26,'Product Backlog'!$L$5:$L$75)</f>
        <v>5</v>
      </c>
      <c r="E26" s="28" t="n">
        <f aca="false">D26-C26</f>
        <v>0</v>
      </c>
      <c r="F26" s="15" t="n">
        <f aca="false">COUNTIF('Product Backlog'!$K$5:$K$75,A26)</f>
        <v>2</v>
      </c>
    </row>
    <row r="27" customFormat="false" ht="15" hidden="false" customHeight="false" outlineLevel="0" collapsed="false">
      <c r="A27" s="15" t="s">
        <v>544</v>
      </c>
      <c r="B27" s="6" t="s">
        <v>642</v>
      </c>
      <c r="C27" s="27" t="n">
        <v>5</v>
      </c>
      <c r="D27" s="28" t="n">
        <f aca="false">SUMIF('Product Backlog'!$K$5:$K$75,A27,'Product Backlog'!$L$5:$L$75)</f>
        <v>5</v>
      </c>
      <c r="E27" s="28" t="n">
        <f aca="false">D27-C27</f>
        <v>0</v>
      </c>
      <c r="F27" s="15" t="n">
        <f aca="false">COUNTIF('Product Backlog'!$K$5:$K$75,A27)</f>
        <v>1</v>
      </c>
    </row>
    <row r="28" customFormat="false" ht="15" hidden="false" customHeight="false" outlineLevel="0" collapsed="false">
      <c r="A28" s="24" t="s">
        <v>643</v>
      </c>
      <c r="B28" s="25" t="s">
        <v>644</v>
      </c>
      <c r="C28" s="26" t="n">
        <f aca="false">SUM(C29:C30)</f>
        <v>8</v>
      </c>
      <c r="D28" s="26" t="n">
        <f aca="false">SUM(D29:D30)</f>
        <v>8</v>
      </c>
      <c r="E28" s="26" t="n">
        <f aca="false">D28-C28</f>
        <v>0</v>
      </c>
      <c r="F28" s="24" t="n">
        <f aca="false">SUM(F29:F30)</f>
        <v>5</v>
      </c>
    </row>
    <row r="29" customFormat="false" ht="15" hidden="false" customHeight="false" outlineLevel="0" collapsed="false">
      <c r="A29" s="15" t="s">
        <v>552</v>
      </c>
      <c r="B29" s="6" t="s">
        <v>645</v>
      </c>
      <c r="C29" s="27" t="n">
        <v>5</v>
      </c>
      <c r="D29" s="28" t="n">
        <f aca="false">SUMIF('Product Backlog'!$K$5:$K$75,A29,'Product Backlog'!$L$5:$L$75)</f>
        <v>5</v>
      </c>
      <c r="E29" s="28" t="n">
        <f aca="false">D29-C29</f>
        <v>0</v>
      </c>
      <c r="F29" s="15" t="n">
        <f aca="false">COUNTIF('Product Backlog'!$K$5:$K$75,A29)</f>
        <v>3</v>
      </c>
    </row>
    <row r="30" customFormat="false" ht="15" hidden="false" customHeight="false" outlineLevel="0" collapsed="false">
      <c r="A30" s="15" t="s">
        <v>571</v>
      </c>
      <c r="B30" s="6" t="s">
        <v>646</v>
      </c>
      <c r="C30" s="27" t="n">
        <v>3</v>
      </c>
      <c r="D30" s="28" t="n">
        <f aca="false">SUMIF('Product Backlog'!$K$5:$K$75,A30,'Product Backlog'!$L$5:$L$75)</f>
        <v>3</v>
      </c>
      <c r="E30" s="28" t="n">
        <f aca="false">D30-C30</f>
        <v>0</v>
      </c>
      <c r="F30" s="15" t="n">
        <f aca="false">COUNTIF('Product Backlog'!$K$5:$K$75,A30)</f>
        <v>2</v>
      </c>
    </row>
    <row r="31" customFormat="false" ht="15" hidden="false" customHeight="false" outlineLevel="0" collapsed="false">
      <c r="A31" s="24" t="s">
        <v>647</v>
      </c>
      <c r="B31" s="25" t="s">
        <v>648</v>
      </c>
      <c r="C31" s="26" t="n">
        <f aca="false">SUM(C32:C34)</f>
        <v>19</v>
      </c>
      <c r="D31" s="26" t="n">
        <f aca="false">SUM(D32:D34)</f>
        <v>19</v>
      </c>
      <c r="E31" s="26" t="n">
        <f aca="false">D31-C31</f>
        <v>0</v>
      </c>
      <c r="F31" s="24" t="n">
        <f aca="false">SUM(F32:F34)</f>
        <v>8</v>
      </c>
    </row>
    <row r="32" customFormat="false" ht="15" hidden="false" customHeight="false" outlineLevel="0" collapsed="false">
      <c r="A32" s="15" t="s">
        <v>505</v>
      </c>
      <c r="B32" s="6" t="s">
        <v>649</v>
      </c>
      <c r="C32" s="27" t="n">
        <v>7</v>
      </c>
      <c r="D32" s="28" t="n">
        <f aca="false">SUMIF('Product Backlog'!$K$5:$K$75,A32,'Product Backlog'!$L$5:$L$75)</f>
        <v>7</v>
      </c>
      <c r="E32" s="28" t="n">
        <f aca="false">D32-C32</f>
        <v>0</v>
      </c>
      <c r="F32" s="15" t="n">
        <f aca="false">COUNTIF('Product Backlog'!$K$5:$K$75,A32)</f>
        <v>2</v>
      </c>
    </row>
    <row r="33" customFormat="false" ht="23.85" hidden="false" customHeight="false" outlineLevel="0" collapsed="false">
      <c r="A33" s="15" t="s">
        <v>512</v>
      </c>
      <c r="B33" s="6" t="s">
        <v>650</v>
      </c>
      <c r="C33" s="27" t="n">
        <v>7</v>
      </c>
      <c r="D33" s="28" t="n">
        <f aca="false">SUMIF('Product Backlog'!$K$5:$K$75,A33,'Product Backlog'!$L$5:$L$75)</f>
        <v>7</v>
      </c>
      <c r="E33" s="28" t="n">
        <f aca="false">D33-C33</f>
        <v>0</v>
      </c>
      <c r="F33" s="15" t="n">
        <f aca="false">COUNTIF('Product Backlog'!$K$5:$K$75,A33)</f>
        <v>3</v>
      </c>
    </row>
    <row r="34" customFormat="false" ht="15" hidden="false" customHeight="false" outlineLevel="0" collapsed="false">
      <c r="A34" s="15" t="s">
        <v>497</v>
      </c>
      <c r="B34" s="6" t="s">
        <v>651</v>
      </c>
      <c r="C34" s="27" t="n">
        <v>5</v>
      </c>
      <c r="D34" s="28" t="n">
        <f aca="false">SUMIF('Product Backlog'!$K$5:$K$75,A34,'Product Backlog'!$L$5:$L$75)</f>
        <v>5</v>
      </c>
      <c r="E34" s="28" t="n">
        <f aca="false">D34-C34</f>
        <v>0</v>
      </c>
      <c r="F34" s="15" t="n">
        <f aca="false">COUNTIF('Product Backlog'!$K$5:$K$75,A34)</f>
        <v>3</v>
      </c>
    </row>
    <row r="35" customFormat="false" ht="15" hidden="false" customHeight="false" outlineLevel="0" collapsed="false">
      <c r="B35" s="9" t="s">
        <v>652</v>
      </c>
      <c r="C35" s="19" t="n">
        <f aca="false">C5+C9+C13+C20+C24+C28+C31</f>
        <v>100</v>
      </c>
      <c r="D35" s="19" t="n">
        <f aca="false">D5+D9+D13+D20+D24+D28+D31</f>
        <v>100</v>
      </c>
      <c r="E35" s="29" t="n">
        <f aca="false">D35-C35</f>
        <v>0</v>
      </c>
      <c r="F35" s="14" t="n">
        <f aca="false">F5+F9+F13+F20+F24+F28+F31</f>
        <v>71</v>
      </c>
    </row>
  </sheetData>
  <conditionalFormatting sqref="E5:E35">
    <cfRule type="expression" priority="2" aboveAverage="0" equalAverage="0" bottom="0" percent="0" rank="0" text="" dxfId="12">
      <formula>ABS(E5)&gt;0.001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2026-09-30T09:04:51Z</dcterms:created>
  <dc:creator>openpyxl</dc:creator>
  <dc:description/>
  <dc:language>en-US</dc:language>
  <cp:lastModifiedBy/>
  <dcterms:modified xsi:type="dcterms:W3CDTF">2026-09-30T09:04:51Z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